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esktop\Mario\.Universidad\6 año\5. TFGs\TFG ADE\"/>
    </mc:Choice>
  </mc:AlternateContent>
  <xr:revisionPtr revIDLastSave="0" documentId="13_ncr:1_{C8F202D1-69A5-4604-A3B8-3C67913BC6CA}" xr6:coauthVersionLast="47" xr6:coauthVersionMax="47" xr10:uidLastSave="{00000000-0000-0000-0000-000000000000}"/>
  <bookViews>
    <workbookView xWindow="-108" yWindow="-108" windowWidth="23256" windowHeight="12456" xr2:uid="{A58651AC-ACB4-412C-BB1A-0546D842AAE1}"/>
  </bookViews>
  <sheets>
    <sheet name="Hoja1" sheetId="1" r:id="rId1"/>
    <sheet name="Borra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5" i="2" l="1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J136" i="2"/>
  <c r="E136" i="2" s="1"/>
  <c r="J135" i="2"/>
  <c r="E135" i="2" s="1"/>
  <c r="J134" i="2"/>
  <c r="E134" i="2" s="1"/>
  <c r="K133" i="2"/>
  <c r="J133" i="2"/>
  <c r="H133" i="2"/>
  <c r="F133" i="2"/>
  <c r="K132" i="2"/>
  <c r="J132" i="2"/>
  <c r="H132" i="2"/>
  <c r="K131" i="2"/>
  <c r="J131" i="2"/>
  <c r="H131" i="2"/>
  <c r="F131" i="2"/>
  <c r="K130" i="2"/>
  <c r="J130" i="2"/>
  <c r="H130" i="2"/>
  <c r="F130" i="2"/>
  <c r="K129" i="2"/>
  <c r="J129" i="2"/>
  <c r="H129" i="2"/>
  <c r="F129" i="2"/>
  <c r="L128" i="2"/>
  <c r="K128" i="2"/>
  <c r="H128" i="2"/>
  <c r="F128" i="2"/>
  <c r="L127" i="2"/>
  <c r="K127" i="2"/>
  <c r="H127" i="2"/>
  <c r="E127" i="2" s="1"/>
  <c r="L126" i="2"/>
  <c r="K126" i="2"/>
  <c r="H126" i="2"/>
  <c r="E126" i="2" s="1"/>
  <c r="L125" i="2"/>
  <c r="K125" i="2"/>
  <c r="H125" i="2"/>
  <c r="E125" i="2" s="1"/>
  <c r="L124" i="2"/>
  <c r="K124" i="2"/>
  <c r="H124" i="2"/>
  <c r="E124" i="2" s="1"/>
  <c r="L123" i="2"/>
  <c r="K123" i="2"/>
  <c r="H123" i="2"/>
  <c r="E123" i="2" s="1"/>
  <c r="L122" i="2"/>
  <c r="K122" i="2"/>
  <c r="H122" i="2"/>
  <c r="E122" i="2" s="1"/>
  <c r="L121" i="2"/>
  <c r="K121" i="2"/>
  <c r="H121" i="2"/>
  <c r="E121" i="2" s="1"/>
  <c r="L120" i="2"/>
  <c r="K120" i="2"/>
  <c r="H120" i="2"/>
  <c r="E120" i="2" s="1"/>
  <c r="L119" i="2"/>
  <c r="K119" i="2"/>
  <c r="H119" i="2"/>
  <c r="E119" i="2" s="1"/>
  <c r="L118" i="2"/>
  <c r="K118" i="2"/>
  <c r="E118" i="2"/>
  <c r="L117" i="2"/>
  <c r="K117" i="2"/>
  <c r="E117" i="2"/>
  <c r="L116" i="2"/>
  <c r="K116" i="2"/>
  <c r="E116" i="2"/>
  <c r="L115" i="2"/>
  <c r="K115" i="2"/>
  <c r="E115" i="2"/>
  <c r="L114" i="2"/>
  <c r="K114" i="2"/>
  <c r="E114" i="2"/>
  <c r="L113" i="2"/>
  <c r="K113" i="2"/>
  <c r="E113" i="2"/>
  <c r="L112" i="2"/>
  <c r="K112" i="2"/>
  <c r="E112" i="2"/>
  <c r="L111" i="2"/>
  <c r="K111" i="2"/>
  <c r="E111" i="2"/>
  <c r="L110" i="2"/>
  <c r="K110" i="2"/>
  <c r="E110" i="2"/>
  <c r="L109" i="2"/>
  <c r="K109" i="2"/>
  <c r="E109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K61" i="2"/>
  <c r="J61" i="2"/>
  <c r="F61" i="2"/>
  <c r="K60" i="2"/>
  <c r="J60" i="2"/>
  <c r="F60" i="2"/>
  <c r="K59" i="2"/>
  <c r="J59" i="2"/>
  <c r="F59" i="2"/>
  <c r="K58" i="2"/>
  <c r="F58" i="2"/>
  <c r="E58" i="2" s="1"/>
  <c r="K57" i="2"/>
  <c r="F57" i="2"/>
  <c r="E57" i="2" s="1"/>
  <c r="K56" i="2"/>
  <c r="J56" i="2"/>
  <c r="F56" i="2"/>
  <c r="K55" i="2"/>
  <c r="J55" i="2"/>
  <c r="F55" i="2"/>
  <c r="K54" i="2"/>
  <c r="J54" i="2"/>
  <c r="F54" i="2"/>
  <c r="K53" i="2"/>
  <c r="F53" i="2"/>
  <c r="E53" i="2" s="1"/>
  <c r="K52" i="2"/>
  <c r="F52" i="2"/>
  <c r="E52" i="2" s="1"/>
  <c r="K51" i="2"/>
  <c r="F51" i="2"/>
  <c r="E51" i="2" s="1"/>
  <c r="K50" i="2"/>
  <c r="F50" i="2"/>
  <c r="E50" i="2" s="1"/>
  <c r="K49" i="2"/>
  <c r="J49" i="2"/>
  <c r="F49" i="2"/>
  <c r="K48" i="2"/>
  <c r="J48" i="2"/>
  <c r="F48" i="2"/>
  <c r="E48" i="2" s="1"/>
  <c r="K47" i="2"/>
  <c r="J47" i="2"/>
  <c r="F47" i="2"/>
  <c r="E47" i="2" s="1"/>
  <c r="K46" i="2"/>
  <c r="J46" i="2"/>
  <c r="F46" i="2"/>
  <c r="E46" i="2" s="1"/>
  <c r="K45" i="2"/>
  <c r="J45" i="2"/>
  <c r="F45" i="2"/>
  <c r="E45" i="2" s="1"/>
  <c r="M44" i="2"/>
  <c r="K44" i="2"/>
  <c r="J44" i="2"/>
  <c r="F44" i="2"/>
  <c r="K43" i="2"/>
  <c r="J43" i="2"/>
  <c r="F43" i="2"/>
  <c r="K42" i="2"/>
  <c r="F42" i="2"/>
  <c r="E42" i="2" s="1"/>
  <c r="K41" i="2"/>
  <c r="F41" i="2"/>
  <c r="E41" i="2" s="1"/>
  <c r="K40" i="2"/>
  <c r="F40" i="2"/>
  <c r="E40" i="2" s="1"/>
  <c r="K39" i="2"/>
  <c r="F39" i="2"/>
  <c r="E39" i="2"/>
  <c r="K38" i="2"/>
  <c r="F38" i="2"/>
  <c r="E38" i="2" s="1"/>
  <c r="K37" i="2"/>
  <c r="F37" i="2"/>
  <c r="E37" i="2" s="1"/>
  <c r="K36" i="2"/>
  <c r="F36" i="2"/>
  <c r="E36" i="2" s="1"/>
  <c r="K35" i="2"/>
  <c r="F35" i="2"/>
  <c r="E35" i="2" s="1"/>
  <c r="K34" i="2"/>
  <c r="E34" i="2"/>
  <c r="K33" i="2"/>
  <c r="E33" i="2"/>
  <c r="K32" i="2"/>
  <c r="E32" i="2"/>
  <c r="K31" i="2"/>
  <c r="E31" i="2"/>
  <c r="K30" i="2"/>
  <c r="J30" i="2"/>
  <c r="E30" i="2" s="1"/>
  <c r="K29" i="2"/>
  <c r="E29" i="2"/>
  <c r="K28" i="2"/>
  <c r="J28" i="2"/>
  <c r="E28" i="2" s="1"/>
  <c r="K27" i="2"/>
  <c r="E27" i="2"/>
  <c r="K26" i="2"/>
  <c r="E26" i="2"/>
  <c r="K25" i="2"/>
  <c r="E25" i="2"/>
  <c r="K24" i="2"/>
  <c r="E24" i="2"/>
  <c r="K23" i="2"/>
  <c r="E23" i="2"/>
  <c r="K22" i="2"/>
  <c r="E22" i="2"/>
  <c r="K21" i="2"/>
  <c r="E21" i="2"/>
  <c r="K20" i="2"/>
  <c r="E20" i="2"/>
  <c r="K19" i="2"/>
  <c r="E19" i="2"/>
  <c r="K18" i="2"/>
  <c r="E18" i="2"/>
  <c r="K17" i="2"/>
  <c r="E17" i="2"/>
  <c r="K16" i="2"/>
  <c r="E16" i="2"/>
  <c r="K15" i="2"/>
  <c r="E15" i="2"/>
  <c r="K14" i="2"/>
  <c r="E14" i="2"/>
  <c r="K13" i="2"/>
  <c r="E13" i="2"/>
  <c r="K12" i="2"/>
  <c r="E12" i="2"/>
  <c r="K11" i="2"/>
  <c r="E11" i="2"/>
  <c r="K10" i="2"/>
  <c r="E10" i="2"/>
  <c r="K9" i="2"/>
  <c r="E9" i="2"/>
  <c r="K8" i="2"/>
  <c r="E8" i="2"/>
  <c r="K7" i="2"/>
  <c r="E7" i="2"/>
  <c r="K6" i="2"/>
  <c r="E6" i="2"/>
  <c r="E128" i="2" l="1"/>
  <c r="E44" i="2"/>
  <c r="E49" i="2"/>
  <c r="E132" i="2"/>
  <c r="E129" i="2"/>
  <c r="E133" i="2"/>
  <c r="E54" i="2"/>
  <c r="E56" i="2"/>
  <c r="E60" i="2"/>
  <c r="E130" i="2"/>
  <c r="E43" i="2"/>
  <c r="E55" i="2"/>
  <c r="E59" i="2"/>
  <c r="E61" i="2"/>
  <c r="E131" i="2"/>
</calcChain>
</file>

<file path=xl/sharedStrings.xml><?xml version="1.0" encoding="utf-8"?>
<sst xmlns="http://schemas.openxmlformats.org/spreadsheetml/2006/main" count="679" uniqueCount="53">
  <si>
    <t>LIGA</t>
  </si>
  <si>
    <t>EQUIPO</t>
  </si>
  <si>
    <t>AÑO</t>
  </si>
  <si>
    <t>LaLiga EA Sports</t>
  </si>
  <si>
    <t>Real Madrid C.F.</t>
  </si>
  <si>
    <t>F.C. Barcelona</t>
  </si>
  <si>
    <t>Club Atlético de Madrid</t>
  </si>
  <si>
    <t>2013 / 2014</t>
  </si>
  <si>
    <t>2014 / 2015</t>
  </si>
  <si>
    <t>2015 / 2016</t>
  </si>
  <si>
    <t>2003 / 2004</t>
  </si>
  <si>
    <t>2004 / 2005</t>
  </si>
  <si>
    <t>2005 / 2006</t>
  </si>
  <si>
    <t>2006 / 2007</t>
  </si>
  <si>
    <t>2007 / 2008</t>
  </si>
  <si>
    <t>2008 / 2009</t>
  </si>
  <si>
    <t>2009 / 2010</t>
  </si>
  <si>
    <t>2010 / 2011</t>
  </si>
  <si>
    <t>2011 / 2012</t>
  </si>
  <si>
    <t>2012 / 2013</t>
  </si>
  <si>
    <t>2016 / 2017</t>
  </si>
  <si>
    <t>2017 / 2018</t>
  </si>
  <si>
    <t>2018 / 2019</t>
  </si>
  <si>
    <t>2019 / 2020</t>
  </si>
  <si>
    <t>2020 / 2021</t>
  </si>
  <si>
    <t>2021 / 2022</t>
  </si>
  <si>
    <t>2022 / 2023</t>
  </si>
  <si>
    <t>2023 / 2024</t>
  </si>
  <si>
    <t>2024 / 2025</t>
  </si>
  <si>
    <t>Premier League</t>
  </si>
  <si>
    <t>Manchester United F.C.</t>
  </si>
  <si>
    <t>Manchester City F.C.</t>
  </si>
  <si>
    <t>Arsenal F.C.</t>
  </si>
  <si>
    <t>Serie A</t>
  </si>
  <si>
    <t>Juventus F.C.</t>
  </si>
  <si>
    <t>A.C. Milan</t>
  </si>
  <si>
    <t>ingresos_totales</t>
  </si>
  <si>
    <t>matchday</t>
  </si>
  <si>
    <t>broadcasting</t>
  </si>
  <si>
    <t>commercial</t>
  </si>
  <si>
    <t>gastos_totales</t>
  </si>
  <si>
    <t>masa_salarial</t>
  </si>
  <si>
    <t>resultado_neto</t>
  </si>
  <si>
    <t>amistosos_comp_inter</t>
  </si>
  <si>
    <t>otros_explotacion</t>
  </si>
  <si>
    <t>liga</t>
  </si>
  <si>
    <t>equipo</t>
  </si>
  <si>
    <t>otros</t>
  </si>
  <si>
    <t>ingresos_comerciales</t>
  </si>
  <si>
    <t>ingresos_broadcasting</t>
  </si>
  <si>
    <t>ingresos_matchday</t>
  </si>
  <si>
    <t>Tipo de cambio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</si>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</sst>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EAF8E4"/>
        <bgColor indexed="64"/>
      </patternFill>
    </fill>
    <fill>
      <patternFill patternType="solid">
        <fgColor rgb="FFEFFAEA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6" xfId="1" applyNumberFormat="1" applyFont="1" applyFill="1" applyBorder="1" applyAlignment="1">
      <alignment horizontal="center"/>
    </xf>
    <xf numFmtId="164" fontId="0" fillId="4" borderId="19" xfId="1" applyNumberFormat="1" applyFont="1" applyFill="1" applyBorder="1" applyAlignment="1">
      <alignment horizontal="center"/>
    </xf>
    <xf numFmtId="164" fontId="0" fillId="4" borderId="7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1" applyNumberFormat="1" applyFont="1" applyFill="1" applyBorder="1" applyAlignment="1">
      <alignment horizontal="center"/>
    </xf>
    <xf numFmtId="164" fontId="0" fillId="4" borderId="9" xfId="1" applyNumberFormat="1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64" fontId="0" fillId="4" borderId="14" xfId="1" applyNumberFormat="1" applyFont="1" applyFill="1" applyBorder="1" applyAlignment="1">
      <alignment horizontal="center"/>
    </xf>
    <xf numFmtId="164" fontId="0" fillId="4" borderId="11" xfId="1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64" fontId="0" fillId="4" borderId="9" xfId="1" applyNumberFormat="1" applyFont="1" applyFill="1" applyBorder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64" fontId="0" fillId="5" borderId="6" xfId="1" applyNumberFormat="1" applyFont="1" applyFill="1" applyBorder="1" applyAlignment="1">
      <alignment horizontal="center"/>
    </xf>
    <xf numFmtId="164" fontId="0" fillId="5" borderId="19" xfId="1" applyNumberFormat="1" applyFont="1" applyFill="1" applyBorder="1" applyAlignment="1">
      <alignment horizontal="center"/>
    </xf>
    <xf numFmtId="164" fontId="0" fillId="5" borderId="7" xfId="1" applyNumberFormat="1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1" applyNumberFormat="1" applyFont="1" applyFill="1" applyBorder="1" applyAlignment="1">
      <alignment horizontal="center"/>
    </xf>
    <xf numFmtId="164" fontId="0" fillId="5" borderId="9" xfId="1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164" fontId="0" fillId="5" borderId="11" xfId="1" applyNumberFormat="1" applyFont="1" applyFill="1" applyBorder="1" applyAlignment="1">
      <alignment horizontal="center"/>
    </xf>
    <xf numFmtId="164" fontId="0" fillId="5" borderId="12" xfId="1" applyNumberFormat="1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164" fontId="0" fillId="5" borderId="9" xfId="1" applyNumberFormat="1" applyFont="1" applyFill="1" applyBorder="1"/>
    <xf numFmtId="164" fontId="0" fillId="4" borderId="7" xfId="1" applyNumberFormat="1" applyFont="1" applyFill="1" applyBorder="1"/>
    <xf numFmtId="0" fontId="0" fillId="5" borderId="14" xfId="0" applyFill="1" applyBorder="1" applyAlignment="1">
      <alignment horizontal="center"/>
    </xf>
    <xf numFmtId="164" fontId="0" fillId="5" borderId="14" xfId="1" applyNumberFormat="1" applyFont="1" applyFill="1" applyBorder="1" applyAlignment="1">
      <alignment horizontal="center"/>
    </xf>
    <xf numFmtId="0" fontId="0" fillId="0" borderId="18" xfId="0" applyBorder="1"/>
    <xf numFmtId="164" fontId="0" fillId="6" borderId="9" xfId="1" applyNumberFormat="1" applyFont="1" applyFill="1" applyBorder="1" applyAlignment="1">
      <alignment horizontal="center"/>
    </xf>
    <xf numFmtId="164" fontId="0" fillId="6" borderId="15" xfId="1" applyNumberFormat="1" applyFont="1" applyFill="1" applyBorder="1" applyAlignment="1">
      <alignment horizontal="center"/>
    </xf>
    <xf numFmtId="164" fontId="0" fillId="6" borderId="12" xfId="1" applyNumberFormat="1" applyFont="1" applyFill="1" applyBorder="1" applyAlignment="1">
      <alignment horizontal="center"/>
    </xf>
    <xf numFmtId="164" fontId="0" fillId="6" borderId="7" xfId="1" applyNumberFormat="1" applyFont="1" applyFill="1" applyBorder="1" applyAlignment="1">
      <alignment horizontal="center"/>
    </xf>
    <xf numFmtId="164" fontId="0" fillId="0" borderId="20" xfId="1" applyNumberFormat="1" applyFont="1" applyFill="1" applyBorder="1" applyAlignment="1">
      <alignment horizontal="center"/>
    </xf>
    <xf numFmtId="164" fontId="0" fillId="4" borderId="12" xfId="1" applyNumberFormat="1" applyFont="1" applyFill="1" applyBorder="1" applyAlignment="1">
      <alignment horizontal="center"/>
    </xf>
    <xf numFmtId="164" fontId="0" fillId="5" borderId="1" xfId="1" applyNumberFormat="1" applyFont="1" applyFill="1" applyBorder="1"/>
    <xf numFmtId="164" fontId="0" fillId="4" borderId="1" xfId="1" applyNumberFormat="1" applyFont="1" applyFill="1" applyBorder="1"/>
    <xf numFmtId="164" fontId="0" fillId="4" borderId="6" xfId="1" applyNumberFormat="1" applyFont="1" applyFill="1" applyBorder="1"/>
    <xf numFmtId="164" fontId="0" fillId="4" borderId="11" xfId="1" applyNumberFormat="1" applyFont="1" applyFill="1" applyBorder="1"/>
    <xf numFmtId="164" fontId="0" fillId="5" borderId="6" xfId="1" applyNumberFormat="1" applyFont="1" applyFill="1" applyBorder="1"/>
    <xf numFmtId="164" fontId="0" fillId="5" borderId="11" xfId="1" applyNumberFormat="1" applyFont="1" applyFill="1" applyBorder="1"/>
    <xf numFmtId="0" fontId="0" fillId="4" borderId="19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64" fontId="0" fillId="6" borderId="17" xfId="1" applyNumberFormat="1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164" fontId="0" fillId="6" borderId="9" xfId="1" applyNumberFormat="1" applyFont="1" applyFill="1" applyBorder="1"/>
    <xf numFmtId="164" fontId="0" fillId="6" borderId="12" xfId="1" applyNumberFormat="1" applyFont="1" applyFill="1" applyBorder="1"/>
    <xf numFmtId="0" fontId="0" fillId="2" borderId="18" xfId="0" applyFill="1" applyBorder="1" applyAlignment="1">
      <alignment horizontal="center"/>
    </xf>
    <xf numFmtId="164" fontId="0" fillId="0" borderId="0" xfId="0" applyNumberFormat="1"/>
    <xf numFmtId="165" fontId="0" fillId="4" borderId="21" xfId="1" applyNumberFormat="1" applyFont="1" applyFill="1" applyBorder="1"/>
    <xf numFmtId="165" fontId="0" fillId="4" borderId="22" xfId="1" applyNumberFormat="1" applyFont="1" applyFill="1" applyBorder="1"/>
    <xf numFmtId="165" fontId="0" fillId="4" borderId="23" xfId="1" applyNumberFormat="1" applyFont="1" applyFill="1" applyBorder="1"/>
    <xf numFmtId="165" fontId="0" fillId="5" borderId="21" xfId="1" applyNumberFormat="1" applyFont="1" applyFill="1" applyBorder="1"/>
    <xf numFmtId="165" fontId="0" fillId="5" borderId="22" xfId="1" applyNumberFormat="1" applyFont="1" applyFill="1" applyBorder="1"/>
    <xf numFmtId="164" fontId="0" fillId="5" borderId="22" xfId="1" applyNumberFormat="1" applyFont="1" applyFill="1" applyBorder="1" applyAlignment="1">
      <alignment horizontal="center"/>
    </xf>
    <xf numFmtId="164" fontId="0" fillId="5" borderId="23" xfId="1" applyNumberFormat="1" applyFont="1" applyFill="1" applyBorder="1" applyAlignment="1">
      <alignment horizontal="center"/>
    </xf>
    <xf numFmtId="43" fontId="0" fillId="5" borderId="21" xfId="1" applyFont="1" applyFill="1" applyBorder="1"/>
    <xf numFmtId="43" fontId="0" fillId="5" borderId="22" xfId="1" applyFont="1" applyFill="1" applyBorder="1"/>
    <xf numFmtId="43" fontId="0" fillId="5" borderId="23" xfId="1" applyFont="1" applyFill="1" applyBorder="1"/>
    <xf numFmtId="43" fontId="0" fillId="4" borderId="21" xfId="1" applyFont="1" applyFill="1" applyBorder="1"/>
    <xf numFmtId="43" fontId="0" fillId="4" borderId="22" xfId="1" applyFont="1" applyFill="1" applyBorder="1"/>
    <xf numFmtId="43" fontId="0" fillId="4" borderId="23" xfId="1" applyFont="1" applyFill="1" applyBorder="1"/>
    <xf numFmtId="43" fontId="0" fillId="4" borderId="24" xfId="1" applyFont="1" applyFill="1" applyBorder="1"/>
    <xf numFmtId="43" fontId="0" fillId="4" borderId="25" xfId="1" applyFont="1" applyFill="1" applyBorder="1"/>
    <xf numFmtId="43" fontId="0" fillId="5" borderId="25" xfId="1" applyFont="1" applyFill="1" applyBorder="1"/>
    <xf numFmtId="165" fontId="0" fillId="4" borderId="25" xfId="1" applyNumberFormat="1" applyFont="1" applyFill="1" applyBorder="1"/>
    <xf numFmtId="165" fontId="0" fillId="5" borderId="25" xfId="1" applyNumberFormat="1" applyFont="1" applyFill="1" applyBorder="1"/>
    <xf numFmtId="164" fontId="0" fillId="5" borderId="24" xfId="1" applyNumberFormat="1" applyFont="1" applyFill="1" applyBorder="1" applyAlignment="1">
      <alignment horizontal="center"/>
    </xf>
    <xf numFmtId="164" fontId="0" fillId="3" borderId="6" xfId="1" applyNumberFormat="1" applyFont="1" applyFill="1" applyBorder="1"/>
    <xf numFmtId="164" fontId="0" fillId="4" borderId="26" xfId="1" applyNumberFormat="1" applyFont="1" applyFill="1" applyBorder="1"/>
    <xf numFmtId="164" fontId="0" fillId="6" borderId="7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E6F0FA"/>
      <color rgb="FFEFFAEA"/>
      <color rgb="FFEAF8E4"/>
      <color rgb="FF83E28E"/>
      <color rgb="FFD3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1A10-2CAE-47BA-91B4-CFBF757895EC}">
  <dimension ref="B2:N136"/>
  <sheetViews>
    <sheetView tabSelected="1" topLeftCell="A3" zoomScale="90" zoomScaleNormal="90" workbookViewId="0">
      <pane xSplit="4" ySplit="3" topLeftCell="G6" activePane="bottomRight" state="frozen"/>
      <selection activeCell="A3" sqref="A3"/>
      <selection pane="topRight" activeCell="E3" sqref="E3"/>
      <selection pane="bottomLeft" activeCell="A6" sqref="A6"/>
      <selection pane="bottomRight" activeCell="N13" sqref="N13"/>
    </sheetView>
  </sheetViews>
  <sheetFormatPr baseColWidth="10" defaultRowHeight="14.4" x14ac:dyDescent="0.3"/>
  <cols>
    <col min="2" max="3" width="22.77734375" customWidth="1"/>
    <col min="4" max="12" width="19.77734375" customWidth="1"/>
    <col min="13" max="13" width="14.21875" customWidth="1"/>
    <col min="14" max="14" width="20.5546875" bestFit="1" customWidth="1"/>
    <col min="15" max="15" width="20.21875" bestFit="1" customWidth="1"/>
  </cols>
  <sheetData>
    <row r="2" spans="2:14" ht="15" thickBot="1" x14ac:dyDescent="0.35"/>
    <row r="3" spans="2:14" ht="15" thickBot="1" x14ac:dyDescent="0.35">
      <c r="M3" s="39"/>
    </row>
    <row r="4" spans="2:14" ht="15" thickBot="1" x14ac:dyDescent="0.35"/>
    <row r="5" spans="2:14" ht="15" thickBot="1" x14ac:dyDescent="0.35">
      <c r="B5" s="1" t="s">
        <v>45</v>
      </c>
      <c r="C5" s="2" t="s">
        <v>46</v>
      </c>
      <c r="D5" s="2" t="s">
        <v>52</v>
      </c>
      <c r="E5" s="2" t="s">
        <v>36</v>
      </c>
      <c r="F5" s="2" t="s">
        <v>50</v>
      </c>
      <c r="G5" s="2" t="s">
        <v>49</v>
      </c>
      <c r="H5" s="2" t="s">
        <v>48</v>
      </c>
      <c r="I5" s="2" t="s">
        <v>47</v>
      </c>
      <c r="J5" s="2" t="s">
        <v>40</v>
      </c>
      <c r="K5" s="2" t="s">
        <v>41</v>
      </c>
      <c r="L5" s="3" t="s">
        <v>42</v>
      </c>
    </row>
    <row r="6" spans="2:14" x14ac:dyDescent="0.3">
      <c r="B6" s="21" t="s">
        <v>3</v>
      </c>
      <c r="C6" s="22" t="s">
        <v>4</v>
      </c>
      <c r="D6" s="22">
        <v>2004</v>
      </c>
      <c r="E6" s="24">
        <v>236001</v>
      </c>
      <c r="F6" s="23">
        <v>62575</v>
      </c>
      <c r="G6" s="23">
        <v>69517</v>
      </c>
      <c r="H6" s="23">
        <v>85305</v>
      </c>
      <c r="I6" s="23">
        <v>18604</v>
      </c>
      <c r="J6" s="23">
        <v>198016</v>
      </c>
      <c r="K6" s="23">
        <v>123646</v>
      </c>
      <c r="L6" s="25">
        <v>6065</v>
      </c>
      <c r="N6" s="60"/>
    </row>
    <row r="7" spans="2:14" x14ac:dyDescent="0.3">
      <c r="B7" s="26" t="s">
        <v>3</v>
      </c>
      <c r="C7" s="27" t="s">
        <v>4</v>
      </c>
      <c r="D7" s="27">
        <v>2005</v>
      </c>
      <c r="E7" s="28">
        <v>275653</v>
      </c>
      <c r="F7" s="28">
        <v>70815</v>
      </c>
      <c r="G7" s="28">
        <v>65149</v>
      </c>
      <c r="H7" s="28">
        <v>116818</v>
      </c>
      <c r="I7" s="28">
        <v>22871</v>
      </c>
      <c r="J7" s="28">
        <v>245372</v>
      </c>
      <c r="K7" s="28">
        <v>144483</v>
      </c>
      <c r="L7" s="29">
        <v>6032</v>
      </c>
      <c r="N7" s="60"/>
    </row>
    <row r="8" spans="2:14" x14ac:dyDescent="0.3">
      <c r="B8" s="26" t="s">
        <v>3</v>
      </c>
      <c r="C8" s="27" t="s">
        <v>4</v>
      </c>
      <c r="D8" s="27">
        <v>2006</v>
      </c>
      <c r="E8" s="28">
        <v>292216</v>
      </c>
      <c r="F8" s="28">
        <v>84865</v>
      </c>
      <c r="G8" s="28">
        <v>72725</v>
      </c>
      <c r="H8" s="28">
        <v>115955</v>
      </c>
      <c r="I8" s="28">
        <v>18671</v>
      </c>
      <c r="J8" s="28">
        <v>258704</v>
      </c>
      <c r="K8" s="28">
        <v>135945</v>
      </c>
      <c r="L8" s="29">
        <v>19541</v>
      </c>
    </row>
    <row r="9" spans="2:14" x14ac:dyDescent="0.3">
      <c r="B9" s="26" t="s">
        <v>3</v>
      </c>
      <c r="C9" s="27" t="s">
        <v>4</v>
      </c>
      <c r="D9" s="27">
        <v>2007</v>
      </c>
      <c r="E9" s="28">
        <v>350950</v>
      </c>
      <c r="F9" s="28">
        <v>94384</v>
      </c>
      <c r="G9" s="28">
        <v>114865</v>
      </c>
      <c r="H9" s="28">
        <v>124178</v>
      </c>
      <c r="I9" s="28">
        <v>17523</v>
      </c>
      <c r="J9" s="28">
        <v>322812</v>
      </c>
      <c r="K9" s="28">
        <v>167476</v>
      </c>
      <c r="L9" s="29">
        <v>35226</v>
      </c>
      <c r="N9" s="60"/>
    </row>
    <row r="10" spans="2:14" x14ac:dyDescent="0.3">
      <c r="B10" s="26" t="s">
        <v>3</v>
      </c>
      <c r="C10" s="27" t="s">
        <v>4</v>
      </c>
      <c r="D10" s="27">
        <v>2008</v>
      </c>
      <c r="E10" s="28">
        <v>360847</v>
      </c>
      <c r="F10" s="28">
        <v>115890</v>
      </c>
      <c r="G10" s="28">
        <v>118534</v>
      </c>
      <c r="H10" s="28">
        <v>114183</v>
      </c>
      <c r="I10" s="28">
        <v>12240</v>
      </c>
      <c r="J10" s="28">
        <v>351620</v>
      </c>
      <c r="K10" s="28">
        <v>167121</v>
      </c>
      <c r="L10" s="29">
        <v>35307</v>
      </c>
    </row>
    <row r="11" spans="2:14" x14ac:dyDescent="0.3">
      <c r="B11" s="26" t="s">
        <v>3</v>
      </c>
      <c r="C11" s="27" t="s">
        <v>4</v>
      </c>
      <c r="D11" s="27">
        <v>2009</v>
      </c>
      <c r="E11" s="28">
        <v>401255</v>
      </c>
      <c r="F11" s="28">
        <v>116904</v>
      </c>
      <c r="G11" s="28">
        <v>144450</v>
      </c>
      <c r="H11" s="28">
        <v>123398</v>
      </c>
      <c r="I11" s="28">
        <v>16503</v>
      </c>
      <c r="J11" s="28">
        <v>390045</v>
      </c>
      <c r="K11" s="28">
        <v>187191</v>
      </c>
      <c r="L11" s="29">
        <v>21477</v>
      </c>
    </row>
    <row r="12" spans="2:14" x14ac:dyDescent="0.3">
      <c r="B12" s="26" t="s">
        <v>3</v>
      </c>
      <c r="C12" s="27" t="s">
        <v>4</v>
      </c>
      <c r="D12" s="27">
        <v>2010</v>
      </c>
      <c r="E12" s="28">
        <v>438422</v>
      </c>
      <c r="F12" s="28">
        <v>148593</v>
      </c>
      <c r="G12" s="28">
        <v>136159</v>
      </c>
      <c r="H12" s="28">
        <v>122487</v>
      </c>
      <c r="I12" s="28">
        <v>31183</v>
      </c>
      <c r="J12" s="28">
        <v>433221</v>
      </c>
      <c r="K12" s="28">
        <v>192263</v>
      </c>
      <c r="L12" s="29">
        <v>24000</v>
      </c>
    </row>
    <row r="13" spans="2:14" x14ac:dyDescent="0.3">
      <c r="B13" s="26" t="s">
        <v>3</v>
      </c>
      <c r="C13" s="27" t="s">
        <v>4</v>
      </c>
      <c r="D13" s="27">
        <v>2011</v>
      </c>
      <c r="E13" s="28">
        <v>479316</v>
      </c>
      <c r="F13" s="28">
        <v>146663</v>
      </c>
      <c r="G13" s="28">
        <v>155968</v>
      </c>
      <c r="H13" s="28">
        <v>144966</v>
      </c>
      <c r="I13" s="28">
        <v>31719</v>
      </c>
      <c r="J13" s="28">
        <v>436946</v>
      </c>
      <c r="K13" s="28">
        <v>216099</v>
      </c>
      <c r="L13" s="29">
        <v>23931</v>
      </c>
    </row>
    <row r="14" spans="2:14" x14ac:dyDescent="0.3">
      <c r="B14" s="26" t="s">
        <v>3</v>
      </c>
      <c r="C14" s="27" t="s">
        <v>4</v>
      </c>
      <c r="D14" s="27">
        <v>2012</v>
      </c>
      <c r="E14" s="28">
        <v>512435</v>
      </c>
      <c r="F14" s="28">
        <v>150190</v>
      </c>
      <c r="G14" s="28">
        <v>159192</v>
      </c>
      <c r="H14" s="28">
        <v>162632</v>
      </c>
      <c r="I14" s="28">
        <v>40421</v>
      </c>
      <c r="J14" s="28">
        <v>490204</v>
      </c>
      <c r="K14" s="28">
        <v>233946</v>
      </c>
      <c r="L14" s="29">
        <v>31523</v>
      </c>
    </row>
    <row r="15" spans="2:14" x14ac:dyDescent="0.3">
      <c r="B15" s="26" t="s">
        <v>3</v>
      </c>
      <c r="C15" s="27" t="s">
        <v>4</v>
      </c>
      <c r="D15" s="27">
        <v>2013</v>
      </c>
      <c r="E15" s="28">
        <v>518715</v>
      </c>
      <c r="F15" s="28">
        <v>145786</v>
      </c>
      <c r="G15" s="28">
        <v>162836</v>
      </c>
      <c r="H15" s="28">
        <v>160505</v>
      </c>
      <c r="I15" s="28">
        <v>49588</v>
      </c>
      <c r="J15" s="28">
        <v>483602</v>
      </c>
      <c r="K15" s="28">
        <v>245997</v>
      </c>
      <c r="L15" s="29">
        <v>24166</v>
      </c>
    </row>
    <row r="16" spans="2:14" x14ac:dyDescent="0.3">
      <c r="B16" s="26" t="s">
        <v>3</v>
      </c>
      <c r="C16" s="27" t="s">
        <v>4</v>
      </c>
      <c r="D16" s="27">
        <v>2014</v>
      </c>
      <c r="E16" s="28">
        <v>549321</v>
      </c>
      <c r="F16" s="28">
        <v>139894</v>
      </c>
      <c r="G16" s="28">
        <v>162690</v>
      </c>
      <c r="H16" s="28">
        <v>170647</v>
      </c>
      <c r="I16" s="28">
        <v>76090</v>
      </c>
      <c r="J16" s="28">
        <v>531925</v>
      </c>
      <c r="K16" s="28">
        <v>269597</v>
      </c>
      <c r="L16" s="29">
        <v>36847</v>
      </c>
    </row>
    <row r="17" spans="2:12" x14ac:dyDescent="0.3">
      <c r="B17" s="26" t="s">
        <v>3</v>
      </c>
      <c r="C17" s="27" t="s">
        <v>4</v>
      </c>
      <c r="D17" s="27">
        <v>2015</v>
      </c>
      <c r="E17" s="28">
        <v>576781</v>
      </c>
      <c r="F17" s="28">
        <v>151284</v>
      </c>
      <c r="G17" s="28">
        <v>163484</v>
      </c>
      <c r="H17" s="28">
        <v>208082</v>
      </c>
      <c r="I17" s="28">
        <v>53931</v>
      </c>
      <c r="J17" s="28">
        <v>582344</v>
      </c>
      <c r="K17" s="28">
        <v>289251</v>
      </c>
      <c r="L17" s="29">
        <v>42018</v>
      </c>
    </row>
    <row r="18" spans="2:12" x14ac:dyDescent="0.3">
      <c r="B18" s="26" t="s">
        <v>3</v>
      </c>
      <c r="C18" s="27" t="s">
        <v>4</v>
      </c>
      <c r="D18" s="27">
        <v>2016</v>
      </c>
      <c r="E18" s="28">
        <v>619939</v>
      </c>
      <c r="F18" s="28">
        <v>153730</v>
      </c>
      <c r="G18" s="28">
        <v>167577</v>
      </c>
      <c r="H18" s="28">
        <v>212364</v>
      </c>
      <c r="I18" s="28">
        <v>86268</v>
      </c>
      <c r="J18" s="28">
        <v>580544</v>
      </c>
      <c r="K18" s="28">
        <v>306877</v>
      </c>
      <c r="L18" s="29">
        <v>30280</v>
      </c>
    </row>
    <row r="19" spans="2:12" x14ac:dyDescent="0.3">
      <c r="B19" s="26" t="s">
        <v>3</v>
      </c>
      <c r="C19" s="27" t="s">
        <v>4</v>
      </c>
      <c r="D19" s="27">
        <v>2017</v>
      </c>
      <c r="E19" s="28">
        <v>672894</v>
      </c>
      <c r="F19" s="28">
        <v>166569</v>
      </c>
      <c r="G19" s="28">
        <v>165299</v>
      </c>
      <c r="H19" s="28">
        <v>254138</v>
      </c>
      <c r="I19" s="28">
        <v>86888</v>
      </c>
      <c r="J19" s="28">
        <v>698695</v>
      </c>
      <c r="K19" s="28">
        <v>406109</v>
      </c>
      <c r="L19" s="29">
        <v>21372</v>
      </c>
    </row>
    <row r="20" spans="2:12" x14ac:dyDescent="0.3">
      <c r="B20" s="26" t="s">
        <v>3</v>
      </c>
      <c r="C20" s="27" t="s">
        <v>4</v>
      </c>
      <c r="D20" s="27">
        <v>2018</v>
      </c>
      <c r="E20" s="28">
        <v>749746</v>
      </c>
      <c r="F20" s="28">
        <v>174226</v>
      </c>
      <c r="G20" s="28">
        <v>178413</v>
      </c>
      <c r="H20" s="28">
        <v>295203</v>
      </c>
      <c r="I20" s="28">
        <v>101904</v>
      </c>
      <c r="J20" s="28">
        <v>760349</v>
      </c>
      <c r="K20" s="28">
        <v>430751</v>
      </c>
      <c r="L20" s="29">
        <v>31174</v>
      </c>
    </row>
    <row r="21" spans="2:12" x14ac:dyDescent="0.3">
      <c r="B21" s="26" t="s">
        <v>3</v>
      </c>
      <c r="C21" s="27" t="s">
        <v>4</v>
      </c>
      <c r="D21" s="27">
        <v>2019</v>
      </c>
      <c r="E21" s="28">
        <v>755601</v>
      </c>
      <c r="F21" s="28">
        <v>173372</v>
      </c>
      <c r="G21" s="28">
        <v>172991</v>
      </c>
      <c r="H21" s="28">
        <v>295172</v>
      </c>
      <c r="I21" s="28">
        <v>114066</v>
      </c>
      <c r="J21" s="28">
        <v>755151</v>
      </c>
      <c r="K21" s="28">
        <v>394221</v>
      </c>
      <c r="L21" s="29">
        <v>38394</v>
      </c>
    </row>
    <row r="22" spans="2:12" x14ac:dyDescent="0.3">
      <c r="B22" s="26" t="s">
        <v>3</v>
      </c>
      <c r="C22" s="27" t="s">
        <v>4</v>
      </c>
      <c r="D22" s="27">
        <v>2020</v>
      </c>
      <c r="E22" s="28">
        <v>713701</v>
      </c>
      <c r="F22" s="28">
        <v>126297</v>
      </c>
      <c r="G22" s="28">
        <v>148570</v>
      </c>
      <c r="H22" s="28">
        <v>312105</v>
      </c>
      <c r="I22" s="28">
        <v>126729</v>
      </c>
      <c r="J22" s="28">
        <v>841289</v>
      </c>
      <c r="K22" s="28">
        <v>411043</v>
      </c>
      <c r="L22" s="29">
        <v>313</v>
      </c>
    </row>
    <row r="23" spans="2:12" x14ac:dyDescent="0.3">
      <c r="B23" s="26" t="s">
        <v>3</v>
      </c>
      <c r="C23" s="27" t="s">
        <v>4</v>
      </c>
      <c r="D23" s="27">
        <v>2021</v>
      </c>
      <c r="E23" s="28">
        <v>649689</v>
      </c>
      <c r="F23" s="28">
        <v>10257</v>
      </c>
      <c r="G23" s="28">
        <v>207709</v>
      </c>
      <c r="H23" s="28">
        <v>314226</v>
      </c>
      <c r="I23" s="28">
        <v>117497</v>
      </c>
      <c r="J23" s="28">
        <v>770244</v>
      </c>
      <c r="K23" s="28">
        <v>402957</v>
      </c>
      <c r="L23" s="29">
        <v>874</v>
      </c>
    </row>
    <row r="24" spans="2:12" x14ac:dyDescent="0.3">
      <c r="B24" s="26" t="s">
        <v>3</v>
      </c>
      <c r="C24" s="27" t="s">
        <v>4</v>
      </c>
      <c r="D24" s="27">
        <v>2022</v>
      </c>
      <c r="E24" s="28">
        <v>719778</v>
      </c>
      <c r="F24" s="28">
        <v>104303</v>
      </c>
      <c r="G24" s="28">
        <v>178940</v>
      </c>
      <c r="H24" s="28">
        <v>290140</v>
      </c>
      <c r="I24" s="28">
        <v>146395</v>
      </c>
      <c r="J24" s="28">
        <v>1016133</v>
      </c>
      <c r="K24" s="28">
        <v>519030</v>
      </c>
      <c r="L24" s="29">
        <v>12936</v>
      </c>
    </row>
    <row r="25" spans="2:12" x14ac:dyDescent="0.3">
      <c r="B25" s="26" t="s">
        <v>3</v>
      </c>
      <c r="C25" s="27" t="s">
        <v>4</v>
      </c>
      <c r="D25" s="27">
        <v>2023</v>
      </c>
      <c r="E25" s="28">
        <v>831213</v>
      </c>
      <c r="F25" s="28">
        <v>151843</v>
      </c>
      <c r="G25" s="28">
        <v>186813</v>
      </c>
      <c r="H25" s="28">
        <v>329812</v>
      </c>
      <c r="I25" s="28">
        <v>162745</v>
      </c>
      <c r="J25" s="28">
        <v>913479</v>
      </c>
      <c r="K25" s="28">
        <v>452701</v>
      </c>
      <c r="L25" s="29">
        <v>11826</v>
      </c>
    </row>
    <row r="26" spans="2:12" x14ac:dyDescent="0.3">
      <c r="B26" s="26" t="s">
        <v>3</v>
      </c>
      <c r="C26" s="27" t="s">
        <v>4</v>
      </c>
      <c r="D26" s="27">
        <v>2024</v>
      </c>
      <c r="E26" s="28">
        <v>1055692</v>
      </c>
      <c r="F26" s="28">
        <v>306970</v>
      </c>
      <c r="G26" s="28">
        <v>179257</v>
      </c>
      <c r="H26" s="28">
        <v>406629</v>
      </c>
      <c r="I26" s="28">
        <v>162836</v>
      </c>
      <c r="J26" s="28">
        <v>1064065</v>
      </c>
      <c r="K26" s="28">
        <v>504974</v>
      </c>
      <c r="L26" s="29">
        <v>15627</v>
      </c>
    </row>
    <row r="27" spans="2:12" ht="15" thickBot="1" x14ac:dyDescent="0.35">
      <c r="B27" s="30" t="s">
        <v>3</v>
      </c>
      <c r="C27" s="31" t="s">
        <v>4</v>
      </c>
      <c r="D27" s="31">
        <v>2025</v>
      </c>
      <c r="E27" s="32">
        <v>1161022</v>
      </c>
      <c r="F27" s="32">
        <v>326092</v>
      </c>
      <c r="G27" s="32">
        <v>162086</v>
      </c>
      <c r="H27" s="32">
        <v>481164</v>
      </c>
      <c r="I27" s="32">
        <v>191680</v>
      </c>
      <c r="J27" s="32">
        <v>1144191</v>
      </c>
      <c r="K27" s="32">
        <v>514230</v>
      </c>
      <c r="L27" s="33">
        <v>24322</v>
      </c>
    </row>
    <row r="28" spans="2:12" x14ac:dyDescent="0.3">
      <c r="B28" s="4" t="s">
        <v>3</v>
      </c>
      <c r="C28" s="10" t="s">
        <v>5</v>
      </c>
      <c r="D28" s="52">
        <v>2004</v>
      </c>
      <c r="E28" s="8">
        <v>169231</v>
      </c>
      <c r="F28" s="11"/>
      <c r="G28" s="11"/>
      <c r="H28" s="11"/>
      <c r="I28" s="11">
        <v>13298</v>
      </c>
      <c r="J28" s="11">
        <v>162476</v>
      </c>
      <c r="K28" s="11">
        <v>88070</v>
      </c>
      <c r="L28" s="12">
        <v>1494</v>
      </c>
    </row>
    <row r="29" spans="2:12" x14ac:dyDescent="0.3">
      <c r="B29" s="4" t="s">
        <v>3</v>
      </c>
      <c r="C29" s="10" t="s">
        <v>5</v>
      </c>
      <c r="D29" s="10">
        <v>2005</v>
      </c>
      <c r="E29" s="11">
        <v>207872</v>
      </c>
      <c r="F29" s="11"/>
      <c r="G29" s="11"/>
      <c r="H29" s="11"/>
      <c r="I29" s="11">
        <v>13451</v>
      </c>
      <c r="J29" s="11">
        <v>189493</v>
      </c>
      <c r="K29" s="11">
        <v>102335</v>
      </c>
      <c r="L29" s="12">
        <v>36715</v>
      </c>
    </row>
    <row r="30" spans="2:12" x14ac:dyDescent="0.3">
      <c r="B30" s="4" t="s">
        <v>3</v>
      </c>
      <c r="C30" s="10" t="s">
        <v>5</v>
      </c>
      <c r="D30" s="10">
        <v>2006</v>
      </c>
      <c r="E30" s="11">
        <v>259090</v>
      </c>
      <c r="F30" s="11"/>
      <c r="G30" s="11"/>
      <c r="H30" s="11"/>
      <c r="I30" s="11">
        <v>23219</v>
      </c>
      <c r="J30" s="11">
        <v>242305</v>
      </c>
      <c r="K30" s="11">
        <v>151984</v>
      </c>
      <c r="L30" s="12">
        <v>32981</v>
      </c>
    </row>
    <row r="31" spans="2:12" x14ac:dyDescent="0.3">
      <c r="B31" s="4" t="s">
        <v>3</v>
      </c>
      <c r="C31" s="10" t="s">
        <v>5</v>
      </c>
      <c r="D31" s="10">
        <v>2007</v>
      </c>
      <c r="E31" s="11">
        <v>290103</v>
      </c>
      <c r="F31" s="11"/>
      <c r="G31" s="11"/>
      <c r="H31" s="11"/>
      <c r="I31" s="11">
        <v>16912</v>
      </c>
      <c r="J31" s="11">
        <v>270638</v>
      </c>
      <c r="K31" s="11">
        <v>154389</v>
      </c>
      <c r="L31" s="12">
        <v>6821</v>
      </c>
    </row>
    <row r="32" spans="2:12" x14ac:dyDescent="0.3">
      <c r="B32" s="4" t="s">
        <v>3</v>
      </c>
      <c r="C32" s="10" t="s">
        <v>5</v>
      </c>
      <c r="D32" s="10">
        <v>2008</v>
      </c>
      <c r="E32" s="11">
        <v>308785</v>
      </c>
      <c r="F32" s="11"/>
      <c r="G32" s="11"/>
      <c r="H32" s="11"/>
      <c r="I32" s="11">
        <v>20496</v>
      </c>
      <c r="J32" s="11">
        <v>292630</v>
      </c>
      <c r="K32" s="11">
        <v>168356</v>
      </c>
      <c r="L32" s="12">
        <v>10069</v>
      </c>
    </row>
    <row r="33" spans="2:12" x14ac:dyDescent="0.3">
      <c r="B33" s="4" t="s">
        <v>3</v>
      </c>
      <c r="C33" s="10" t="s">
        <v>5</v>
      </c>
      <c r="D33" s="10">
        <v>2009</v>
      </c>
      <c r="E33" s="11">
        <v>365911</v>
      </c>
      <c r="F33" s="11"/>
      <c r="G33" s="11"/>
      <c r="H33" s="11"/>
      <c r="I33" s="11">
        <v>22878</v>
      </c>
      <c r="J33" s="11">
        <v>361702</v>
      </c>
      <c r="K33" s="11">
        <v>201312</v>
      </c>
      <c r="L33" s="12">
        <v>6652</v>
      </c>
    </row>
    <row r="34" spans="2:12" x14ac:dyDescent="0.3">
      <c r="B34" s="4" t="s">
        <v>3</v>
      </c>
      <c r="C34" s="10" t="s">
        <v>5</v>
      </c>
      <c r="D34" s="10">
        <v>2010</v>
      </c>
      <c r="E34" s="11">
        <v>398054</v>
      </c>
      <c r="F34" s="11"/>
      <c r="G34" s="11"/>
      <c r="H34" s="11"/>
      <c r="I34" s="11">
        <v>26528</v>
      </c>
      <c r="J34" s="11">
        <v>459241</v>
      </c>
      <c r="K34" s="11">
        <v>234811</v>
      </c>
      <c r="L34" s="40">
        <v>-79643</v>
      </c>
    </row>
    <row r="35" spans="2:12" x14ac:dyDescent="0.3">
      <c r="B35" s="4" t="s">
        <v>3</v>
      </c>
      <c r="C35" s="10" t="s">
        <v>5</v>
      </c>
      <c r="D35" s="10">
        <v>2011</v>
      </c>
      <c r="E35" s="11">
        <v>450654</v>
      </c>
      <c r="F35" s="11">
        <v>110705</v>
      </c>
      <c r="G35" s="11">
        <v>163045</v>
      </c>
      <c r="H35" s="11">
        <v>143376</v>
      </c>
      <c r="I35" s="11">
        <v>33528</v>
      </c>
      <c r="J35" s="11">
        <v>425418</v>
      </c>
      <c r="K35" s="11">
        <v>240646</v>
      </c>
      <c r="L35" s="40">
        <v>-9322</v>
      </c>
    </row>
    <row r="36" spans="2:12" x14ac:dyDescent="0.3">
      <c r="B36" s="4" t="s">
        <v>3</v>
      </c>
      <c r="C36" s="10" t="s">
        <v>5</v>
      </c>
      <c r="D36" s="10">
        <v>2012</v>
      </c>
      <c r="E36" s="11">
        <v>482999</v>
      </c>
      <c r="F36" s="11">
        <v>116346</v>
      </c>
      <c r="G36" s="11">
        <v>160472</v>
      </c>
      <c r="H36" s="11">
        <v>162361</v>
      </c>
      <c r="I36" s="11">
        <v>43820</v>
      </c>
      <c r="J36" s="11">
        <v>423228</v>
      </c>
      <c r="K36" s="11">
        <v>233312</v>
      </c>
      <c r="L36" s="12">
        <v>48781</v>
      </c>
    </row>
    <row r="37" spans="2:12" x14ac:dyDescent="0.3">
      <c r="B37" s="4" t="s">
        <v>3</v>
      </c>
      <c r="C37" s="10" t="s">
        <v>5</v>
      </c>
      <c r="D37" s="10">
        <v>2013</v>
      </c>
      <c r="E37" s="11">
        <v>482588</v>
      </c>
      <c r="F37" s="11">
        <v>117587</v>
      </c>
      <c r="G37" s="11">
        <v>161669</v>
      </c>
      <c r="H37" s="11">
        <v>166474</v>
      </c>
      <c r="I37" s="11">
        <v>36858</v>
      </c>
      <c r="J37" s="11">
        <v>425045</v>
      </c>
      <c r="K37" s="11">
        <v>237817</v>
      </c>
      <c r="L37" s="12">
        <v>32488</v>
      </c>
    </row>
    <row r="38" spans="2:12" x14ac:dyDescent="0.3">
      <c r="B38" s="4" t="s">
        <v>3</v>
      </c>
      <c r="C38" s="10" t="s">
        <v>5</v>
      </c>
      <c r="D38" s="10">
        <v>2014</v>
      </c>
      <c r="E38" s="11">
        <v>484639</v>
      </c>
      <c r="F38" s="11">
        <v>116871</v>
      </c>
      <c r="G38" s="11">
        <v>160876</v>
      </c>
      <c r="H38" s="11">
        <v>160162</v>
      </c>
      <c r="I38" s="11">
        <v>46730</v>
      </c>
      <c r="J38" s="11">
        <v>451245</v>
      </c>
      <c r="K38" s="11">
        <v>247752</v>
      </c>
      <c r="L38" s="12">
        <v>41118</v>
      </c>
    </row>
    <row r="39" spans="2:12" x14ac:dyDescent="0.3">
      <c r="B39" s="4" t="s">
        <v>3</v>
      </c>
      <c r="C39" s="10" t="s">
        <v>5</v>
      </c>
      <c r="D39" s="10">
        <v>2015</v>
      </c>
      <c r="E39" s="11">
        <v>560697</v>
      </c>
      <c r="F39" s="11">
        <v>120536</v>
      </c>
      <c r="G39" s="11">
        <v>162312</v>
      </c>
      <c r="H39" s="11">
        <v>221713</v>
      </c>
      <c r="I39" s="11">
        <v>56136</v>
      </c>
      <c r="J39" s="11">
        <v>568430</v>
      </c>
      <c r="K39" s="11">
        <v>349539</v>
      </c>
      <c r="L39" s="12">
        <v>15150</v>
      </c>
    </row>
    <row r="40" spans="2:12" x14ac:dyDescent="0.3">
      <c r="B40" s="4" t="s">
        <v>3</v>
      </c>
      <c r="C40" s="10" t="s">
        <v>5</v>
      </c>
      <c r="D40" s="10">
        <v>2016</v>
      </c>
      <c r="E40" s="11">
        <v>620115</v>
      </c>
      <c r="F40" s="11">
        <v>128583</v>
      </c>
      <c r="G40" s="11">
        <v>168142</v>
      </c>
      <c r="H40" s="11">
        <v>260055</v>
      </c>
      <c r="I40" s="11">
        <v>63335</v>
      </c>
      <c r="J40" s="11">
        <v>599757</v>
      </c>
      <c r="K40" s="11">
        <v>371735</v>
      </c>
      <c r="L40" s="12">
        <v>28769</v>
      </c>
    </row>
    <row r="41" spans="2:12" x14ac:dyDescent="0.3">
      <c r="B41" s="4" t="s">
        <v>3</v>
      </c>
      <c r="C41" s="10" t="s">
        <v>5</v>
      </c>
      <c r="D41" s="10">
        <v>2017</v>
      </c>
      <c r="E41" s="11">
        <v>706927</v>
      </c>
      <c r="F41" s="11">
        <v>143837</v>
      </c>
      <c r="G41" s="11">
        <v>177959</v>
      </c>
      <c r="H41" s="11">
        <v>316393</v>
      </c>
      <c r="I41" s="11">
        <v>68738</v>
      </c>
      <c r="J41" s="11">
        <v>628547</v>
      </c>
      <c r="K41" s="11">
        <v>377934</v>
      </c>
      <c r="L41" s="12">
        <v>18134</v>
      </c>
    </row>
    <row r="42" spans="2:12" x14ac:dyDescent="0.3">
      <c r="B42" s="4" t="s">
        <v>3</v>
      </c>
      <c r="C42" s="10" t="s">
        <v>5</v>
      </c>
      <c r="D42" s="10">
        <v>2018</v>
      </c>
      <c r="E42" s="11">
        <v>690299</v>
      </c>
      <c r="F42" s="11">
        <v>164009</v>
      </c>
      <c r="G42" s="11">
        <v>187383</v>
      </c>
      <c r="H42" s="11">
        <v>335079</v>
      </c>
      <c r="I42" s="11">
        <v>3828</v>
      </c>
      <c r="J42" s="11">
        <v>859722</v>
      </c>
      <c r="K42" s="11">
        <v>529121</v>
      </c>
      <c r="L42" s="12">
        <v>12930</v>
      </c>
    </row>
    <row r="43" spans="2:12" x14ac:dyDescent="0.3">
      <c r="B43" s="4" t="s">
        <v>3</v>
      </c>
      <c r="C43" s="10" t="s">
        <v>5</v>
      </c>
      <c r="D43" s="10">
        <v>2019</v>
      </c>
      <c r="E43" s="11">
        <v>852171</v>
      </c>
      <c r="F43" s="11">
        <v>174864</v>
      </c>
      <c r="G43" s="11">
        <v>298122</v>
      </c>
      <c r="H43" s="11">
        <v>363331</v>
      </c>
      <c r="I43" s="11">
        <v>15854</v>
      </c>
      <c r="J43" s="11">
        <v>942697</v>
      </c>
      <c r="K43" s="11">
        <v>541920</v>
      </c>
      <c r="L43" s="12">
        <v>4527</v>
      </c>
    </row>
    <row r="44" spans="2:12" x14ac:dyDescent="0.3">
      <c r="B44" s="4" t="s">
        <v>3</v>
      </c>
      <c r="C44" s="10" t="s">
        <v>5</v>
      </c>
      <c r="D44" s="10">
        <v>2020</v>
      </c>
      <c r="E44" s="11">
        <v>728513</v>
      </c>
      <c r="F44" s="11">
        <v>136091</v>
      </c>
      <c r="G44" s="11">
        <v>248489</v>
      </c>
      <c r="H44" s="11">
        <v>323237</v>
      </c>
      <c r="I44" s="11">
        <v>20696</v>
      </c>
      <c r="J44" s="11">
        <v>903230</v>
      </c>
      <c r="K44" s="11">
        <v>487120</v>
      </c>
      <c r="L44" s="40">
        <v>-101239</v>
      </c>
    </row>
    <row r="45" spans="2:12" x14ac:dyDescent="0.3">
      <c r="B45" s="4" t="s">
        <v>3</v>
      </c>
      <c r="C45" s="10" t="s">
        <v>5</v>
      </c>
      <c r="D45" s="10">
        <v>2021</v>
      </c>
      <c r="E45" s="11">
        <v>590177</v>
      </c>
      <c r="F45" s="11">
        <v>23663</v>
      </c>
      <c r="G45" s="11">
        <v>281431</v>
      </c>
      <c r="H45" s="11">
        <v>270299</v>
      </c>
      <c r="I45" s="11">
        <v>14784</v>
      </c>
      <c r="J45" s="11">
        <v>856235</v>
      </c>
      <c r="K45" s="11">
        <v>489590</v>
      </c>
      <c r="L45" s="40">
        <v>-481318</v>
      </c>
    </row>
    <row r="46" spans="2:12" x14ac:dyDescent="0.3">
      <c r="B46" s="4" t="s">
        <v>3</v>
      </c>
      <c r="C46" s="10" t="s">
        <v>5</v>
      </c>
      <c r="D46" s="10">
        <v>2022</v>
      </c>
      <c r="E46" s="11">
        <v>638838</v>
      </c>
      <c r="F46" s="11">
        <v>110413</v>
      </c>
      <c r="G46" s="11">
        <v>250193</v>
      </c>
      <c r="H46" s="11">
        <v>267175</v>
      </c>
      <c r="I46" s="11">
        <v>11057</v>
      </c>
      <c r="J46" s="11">
        <v>789762</v>
      </c>
      <c r="K46" s="11">
        <v>457246</v>
      </c>
      <c r="L46" s="12">
        <v>97577</v>
      </c>
    </row>
    <row r="47" spans="2:12" x14ac:dyDescent="0.3">
      <c r="B47" s="4" t="s">
        <v>3</v>
      </c>
      <c r="C47" s="10" t="s">
        <v>5</v>
      </c>
      <c r="D47" s="10">
        <v>2023</v>
      </c>
      <c r="E47" s="11">
        <v>805656</v>
      </c>
      <c r="F47" s="11">
        <v>189515</v>
      </c>
      <c r="G47" s="11">
        <v>215882</v>
      </c>
      <c r="H47" s="11">
        <v>390135</v>
      </c>
      <c r="I47" s="11">
        <v>10124</v>
      </c>
      <c r="J47" s="11">
        <v>1089783</v>
      </c>
      <c r="K47" s="11">
        <v>625723</v>
      </c>
      <c r="L47" s="12">
        <v>303711</v>
      </c>
    </row>
    <row r="48" spans="2:12" x14ac:dyDescent="0.3">
      <c r="B48" s="4" t="s">
        <v>3</v>
      </c>
      <c r="C48" s="10" t="s">
        <v>5</v>
      </c>
      <c r="D48" s="10">
        <v>2024</v>
      </c>
      <c r="E48" s="11">
        <v>760957</v>
      </c>
      <c r="F48" s="11">
        <v>115929</v>
      </c>
      <c r="G48" s="11">
        <v>242246</v>
      </c>
      <c r="H48" s="11">
        <v>373724</v>
      </c>
      <c r="I48" s="11">
        <v>29058</v>
      </c>
      <c r="J48" s="11">
        <v>961606</v>
      </c>
      <c r="K48" s="11">
        <v>471806</v>
      </c>
      <c r="L48" s="40">
        <v>-90542</v>
      </c>
    </row>
    <row r="49" spans="2:12" ht="15" thickBot="1" x14ac:dyDescent="0.35">
      <c r="B49" s="5" t="s">
        <v>3</v>
      </c>
      <c r="C49" s="13" t="s">
        <v>5</v>
      </c>
      <c r="D49" s="19">
        <v>2025</v>
      </c>
      <c r="E49" s="15">
        <v>985911</v>
      </c>
      <c r="F49" s="14">
        <v>150197</v>
      </c>
      <c r="G49" s="14">
        <v>250499</v>
      </c>
      <c r="H49" s="14">
        <v>556844</v>
      </c>
      <c r="I49" s="14">
        <v>28371</v>
      </c>
      <c r="J49" s="14">
        <v>926108</v>
      </c>
      <c r="K49" s="14">
        <v>509955</v>
      </c>
      <c r="L49" s="41">
        <v>-16949</v>
      </c>
    </row>
    <row r="50" spans="2:12" x14ac:dyDescent="0.3">
      <c r="B50" s="21" t="s">
        <v>3</v>
      </c>
      <c r="C50" s="22" t="s">
        <v>6</v>
      </c>
      <c r="D50" s="53">
        <v>2014</v>
      </c>
      <c r="E50" s="24">
        <v>169866</v>
      </c>
      <c r="F50" s="23">
        <v>86699</v>
      </c>
      <c r="G50" s="23">
        <v>45933</v>
      </c>
      <c r="H50" s="23">
        <v>30202</v>
      </c>
      <c r="I50" s="23">
        <v>7032</v>
      </c>
      <c r="J50" s="23">
        <v>171848</v>
      </c>
      <c r="K50" s="23">
        <v>112945</v>
      </c>
      <c r="L50" s="25">
        <v>1596</v>
      </c>
    </row>
    <row r="51" spans="2:12" x14ac:dyDescent="0.3">
      <c r="B51" s="26" t="s">
        <v>3</v>
      </c>
      <c r="C51" s="27" t="s">
        <v>6</v>
      </c>
      <c r="D51" s="27">
        <v>2015</v>
      </c>
      <c r="E51" s="28">
        <v>175113</v>
      </c>
      <c r="F51" s="28">
        <v>84355</v>
      </c>
      <c r="G51" s="28">
        <v>41658</v>
      </c>
      <c r="H51" s="28">
        <v>34878</v>
      </c>
      <c r="I51" s="28">
        <v>14222</v>
      </c>
      <c r="J51" s="28">
        <v>185161</v>
      </c>
      <c r="K51" s="28">
        <v>105036</v>
      </c>
      <c r="L51" s="29">
        <v>13121</v>
      </c>
    </row>
    <row r="52" spans="2:12" x14ac:dyDescent="0.3">
      <c r="B52" s="26" t="s">
        <v>3</v>
      </c>
      <c r="C52" s="27" t="s">
        <v>6</v>
      </c>
      <c r="D52" s="27">
        <v>2016</v>
      </c>
      <c r="E52" s="28">
        <v>233332</v>
      </c>
      <c r="F52" s="28">
        <v>110483</v>
      </c>
      <c r="G52" s="28">
        <v>68737</v>
      </c>
      <c r="H52" s="28">
        <v>39642</v>
      </c>
      <c r="I52" s="28">
        <v>14470</v>
      </c>
      <c r="J52" s="28">
        <v>225785</v>
      </c>
      <c r="K52" s="28">
        <v>137262</v>
      </c>
      <c r="L52" s="29">
        <v>3944</v>
      </c>
    </row>
    <row r="53" spans="2:12" x14ac:dyDescent="0.3">
      <c r="B53" s="26" t="s">
        <v>3</v>
      </c>
      <c r="C53" s="27" t="s">
        <v>6</v>
      </c>
      <c r="D53" s="27">
        <v>2017</v>
      </c>
      <c r="E53" s="28">
        <v>281398</v>
      </c>
      <c r="F53" s="28">
        <v>105929</v>
      </c>
      <c r="G53" s="28">
        <v>99417</v>
      </c>
      <c r="H53" s="28">
        <v>53095</v>
      </c>
      <c r="I53" s="28">
        <v>22957</v>
      </c>
      <c r="J53" s="28">
        <v>311017</v>
      </c>
      <c r="K53" s="28">
        <v>177775</v>
      </c>
      <c r="L53" s="29">
        <v>4997</v>
      </c>
    </row>
    <row r="54" spans="2:12" x14ac:dyDescent="0.3">
      <c r="B54" s="26" t="s">
        <v>3</v>
      </c>
      <c r="C54" s="27" t="s">
        <v>6</v>
      </c>
      <c r="D54" s="27">
        <v>2018</v>
      </c>
      <c r="E54" s="28">
        <v>353773</v>
      </c>
      <c r="F54" s="28">
        <v>109880</v>
      </c>
      <c r="G54" s="28">
        <v>110159</v>
      </c>
      <c r="H54" s="28">
        <v>72123</v>
      </c>
      <c r="I54" s="28">
        <v>61611</v>
      </c>
      <c r="J54" s="28">
        <v>367369</v>
      </c>
      <c r="K54" s="28">
        <v>211844</v>
      </c>
      <c r="L54" s="29">
        <v>4483</v>
      </c>
    </row>
    <row r="55" spans="2:12" x14ac:dyDescent="0.3">
      <c r="B55" s="26" t="s">
        <v>3</v>
      </c>
      <c r="C55" s="27" t="s">
        <v>6</v>
      </c>
      <c r="D55" s="27">
        <v>2019</v>
      </c>
      <c r="E55" s="28">
        <v>389558</v>
      </c>
      <c r="F55" s="28">
        <v>152098</v>
      </c>
      <c r="G55" s="28">
        <v>119385</v>
      </c>
      <c r="H55" s="28">
        <v>80377</v>
      </c>
      <c r="I55" s="28">
        <v>37698</v>
      </c>
      <c r="J55" s="28">
        <v>421497</v>
      </c>
      <c r="K55" s="28">
        <v>242071</v>
      </c>
      <c r="L55" s="29">
        <v>13958</v>
      </c>
    </row>
    <row r="56" spans="2:12" x14ac:dyDescent="0.3">
      <c r="B56" s="26" t="s">
        <v>3</v>
      </c>
      <c r="C56" s="27" t="s">
        <v>6</v>
      </c>
      <c r="D56" s="27">
        <v>2020</v>
      </c>
      <c r="E56" s="28">
        <v>341395</v>
      </c>
      <c r="F56" s="28">
        <v>137409</v>
      </c>
      <c r="G56" s="28">
        <v>114721</v>
      </c>
      <c r="H56" s="28">
        <v>70713</v>
      </c>
      <c r="I56" s="28">
        <v>18552</v>
      </c>
      <c r="J56" s="28">
        <v>423163</v>
      </c>
      <c r="K56" s="28">
        <v>212572</v>
      </c>
      <c r="L56" s="29">
        <v>11122</v>
      </c>
    </row>
    <row r="57" spans="2:12" x14ac:dyDescent="0.3">
      <c r="B57" s="26" t="s">
        <v>3</v>
      </c>
      <c r="C57" s="27" t="s">
        <v>6</v>
      </c>
      <c r="D57" s="27">
        <v>2021</v>
      </c>
      <c r="E57" s="28">
        <v>347844</v>
      </c>
      <c r="F57" s="28">
        <v>89897</v>
      </c>
      <c r="G57" s="28">
        <v>144945</v>
      </c>
      <c r="H57" s="28">
        <v>90714</v>
      </c>
      <c r="I57" s="28">
        <v>22288</v>
      </c>
      <c r="J57" s="28">
        <v>444221</v>
      </c>
      <c r="K57" s="28">
        <v>247565</v>
      </c>
      <c r="L57" s="40">
        <v>-86091</v>
      </c>
    </row>
    <row r="58" spans="2:12" x14ac:dyDescent="0.3">
      <c r="B58" s="26" t="s">
        <v>3</v>
      </c>
      <c r="C58" s="27" t="s">
        <v>6</v>
      </c>
      <c r="D58" s="27">
        <v>2022</v>
      </c>
      <c r="E58" s="28">
        <v>407239</v>
      </c>
      <c r="F58" s="28">
        <v>155105</v>
      </c>
      <c r="G58" s="28">
        <v>131416</v>
      </c>
      <c r="H58" s="28">
        <v>91260</v>
      </c>
      <c r="I58" s="28">
        <v>29458</v>
      </c>
      <c r="J58" s="28">
        <v>446864</v>
      </c>
      <c r="K58" s="28">
        <v>254254</v>
      </c>
      <c r="L58" s="40">
        <v>-22637</v>
      </c>
    </row>
    <row r="59" spans="2:12" x14ac:dyDescent="0.3">
      <c r="B59" s="26" t="s">
        <v>3</v>
      </c>
      <c r="C59" s="27" t="s">
        <v>6</v>
      </c>
      <c r="D59" s="27">
        <v>2023</v>
      </c>
      <c r="E59" s="28">
        <v>396914</v>
      </c>
      <c r="F59" s="28">
        <v>122407</v>
      </c>
      <c r="G59" s="28">
        <v>120438</v>
      </c>
      <c r="H59" s="28">
        <v>113094</v>
      </c>
      <c r="I59" s="28">
        <v>40975</v>
      </c>
      <c r="J59" s="28">
        <v>420291</v>
      </c>
      <c r="K59" s="28">
        <v>244896</v>
      </c>
      <c r="L59" s="29">
        <v>359</v>
      </c>
    </row>
    <row r="60" spans="2:12" x14ac:dyDescent="0.3">
      <c r="B60" s="26" t="s">
        <v>3</v>
      </c>
      <c r="C60" s="27" t="s">
        <v>6</v>
      </c>
      <c r="D60" s="27">
        <v>2024</v>
      </c>
      <c r="E60" s="28">
        <v>420413</v>
      </c>
      <c r="F60" s="28">
        <v>178206</v>
      </c>
      <c r="G60" s="28">
        <v>119801</v>
      </c>
      <c r="H60" s="28">
        <v>90160</v>
      </c>
      <c r="I60" s="28">
        <v>32246</v>
      </c>
      <c r="J60" s="28">
        <v>381214</v>
      </c>
      <c r="K60" s="28">
        <v>267663</v>
      </c>
      <c r="L60" s="29">
        <v>690</v>
      </c>
    </row>
    <row r="61" spans="2:12" ht="15" thickBot="1" x14ac:dyDescent="0.35">
      <c r="B61" s="34" t="s">
        <v>3</v>
      </c>
      <c r="C61" s="37" t="s">
        <v>6</v>
      </c>
      <c r="D61" s="31">
        <v>2025</v>
      </c>
      <c r="E61" s="28">
        <v>447386</v>
      </c>
      <c r="F61" s="38">
        <v>191275</v>
      </c>
      <c r="G61" s="38">
        <v>109218</v>
      </c>
      <c r="H61" s="38">
        <v>113460</v>
      </c>
      <c r="I61" s="32">
        <v>33433</v>
      </c>
      <c r="J61" s="38">
        <v>485984</v>
      </c>
      <c r="K61" s="38">
        <v>279939</v>
      </c>
      <c r="L61" s="41">
        <v>-5991</v>
      </c>
    </row>
    <row r="62" spans="2:12" x14ac:dyDescent="0.3">
      <c r="B62" s="16" t="s">
        <v>29</v>
      </c>
      <c r="C62" s="6" t="s">
        <v>30</v>
      </c>
      <c r="D62" s="52">
        <v>2012</v>
      </c>
      <c r="E62" s="7">
        <v>408087</v>
      </c>
      <c r="F62" s="7">
        <v>125766</v>
      </c>
      <c r="G62" s="7">
        <v>132484</v>
      </c>
      <c r="H62" s="7">
        <v>149836</v>
      </c>
      <c r="I62" s="8"/>
      <c r="J62" s="7">
        <v>349599</v>
      </c>
      <c r="K62" s="7">
        <v>205990</v>
      </c>
      <c r="L62" s="9">
        <v>29700</v>
      </c>
    </row>
    <row r="63" spans="2:12" x14ac:dyDescent="0.3">
      <c r="B63" s="17" t="s">
        <v>29</v>
      </c>
      <c r="C63" s="10" t="s">
        <v>30</v>
      </c>
      <c r="D63" s="10">
        <v>2013</v>
      </c>
      <c r="E63" s="11">
        <v>415125</v>
      </c>
      <c r="F63" s="11">
        <v>124727</v>
      </c>
      <c r="G63" s="11">
        <v>116157</v>
      </c>
      <c r="H63" s="11">
        <v>174240</v>
      </c>
      <c r="I63" s="11"/>
      <c r="J63" s="11">
        <v>347609</v>
      </c>
      <c r="K63" s="11">
        <v>206337</v>
      </c>
      <c r="L63" s="12">
        <v>167356</v>
      </c>
    </row>
    <row r="64" spans="2:12" x14ac:dyDescent="0.3">
      <c r="B64" s="17" t="s">
        <v>29</v>
      </c>
      <c r="C64" s="10" t="s">
        <v>30</v>
      </c>
      <c r="D64" s="52">
        <v>2014</v>
      </c>
      <c r="E64" s="11">
        <v>546219</v>
      </c>
      <c r="F64" s="11">
        <v>136317</v>
      </c>
      <c r="G64" s="11">
        <v>171175</v>
      </c>
      <c r="H64" s="11">
        <v>238726</v>
      </c>
      <c r="I64" s="11"/>
      <c r="J64" s="11">
        <v>462857</v>
      </c>
      <c r="K64" s="11">
        <v>270866</v>
      </c>
      <c r="L64" s="12">
        <v>30055</v>
      </c>
    </row>
    <row r="65" spans="2:12" x14ac:dyDescent="0.3">
      <c r="B65" s="17" t="s">
        <v>29</v>
      </c>
      <c r="C65" s="10" t="s">
        <v>30</v>
      </c>
      <c r="D65" s="10">
        <v>2015</v>
      </c>
      <c r="E65" s="11">
        <v>561943</v>
      </c>
      <c r="F65" s="11">
        <v>128809</v>
      </c>
      <c r="G65" s="11">
        <v>153098</v>
      </c>
      <c r="H65" s="11">
        <v>280035</v>
      </c>
      <c r="I65" s="11"/>
      <c r="J65" s="11">
        <v>547246</v>
      </c>
      <c r="K65" s="11">
        <v>288041</v>
      </c>
      <c r="L65" s="40">
        <v>-1272</v>
      </c>
    </row>
    <row r="66" spans="2:12" x14ac:dyDescent="0.3">
      <c r="B66" s="17" t="s">
        <v>29</v>
      </c>
      <c r="C66" s="10" t="s">
        <v>30</v>
      </c>
      <c r="D66" s="52">
        <v>2016</v>
      </c>
      <c r="E66" s="11">
        <v>609653</v>
      </c>
      <c r="F66" s="11">
        <v>126092</v>
      </c>
      <c r="G66" s="11">
        <v>166140</v>
      </c>
      <c r="H66" s="11">
        <v>317420</v>
      </c>
      <c r="I66" s="11"/>
      <c r="J66" s="11">
        <v>498722</v>
      </c>
      <c r="K66" s="11">
        <v>274742</v>
      </c>
      <c r="L66" s="12">
        <v>43026</v>
      </c>
    </row>
    <row r="67" spans="2:12" x14ac:dyDescent="0.3">
      <c r="B67" s="17" t="s">
        <v>29</v>
      </c>
      <c r="C67" s="10" t="s">
        <v>30</v>
      </c>
      <c r="D67" s="10">
        <v>2017</v>
      </c>
      <c r="E67" s="11">
        <v>648623</v>
      </c>
      <c r="F67" s="11">
        <v>124584</v>
      </c>
      <c r="G67" s="11">
        <v>216613</v>
      </c>
      <c r="H67" s="11">
        <v>307425</v>
      </c>
      <c r="I67" s="11"/>
      <c r="J67" s="11">
        <v>575931</v>
      </c>
      <c r="K67" s="11">
        <v>294025</v>
      </c>
      <c r="L67" s="12">
        <v>43721</v>
      </c>
    </row>
    <row r="68" spans="2:12" x14ac:dyDescent="0.3">
      <c r="B68" s="17" t="s">
        <v>29</v>
      </c>
      <c r="C68" s="10" t="s">
        <v>30</v>
      </c>
      <c r="D68" s="52">
        <v>2018</v>
      </c>
      <c r="E68" s="11">
        <v>662004</v>
      </c>
      <c r="F68" s="11">
        <v>123179</v>
      </c>
      <c r="G68" s="11">
        <v>229041</v>
      </c>
      <c r="H68" s="11">
        <v>309783</v>
      </c>
      <c r="I68" s="11"/>
      <c r="J68" s="11">
        <v>630663</v>
      </c>
      <c r="K68" s="11">
        <v>332039</v>
      </c>
      <c r="L68" s="40">
        <v>-41816</v>
      </c>
    </row>
    <row r="69" spans="2:12" x14ac:dyDescent="0.3">
      <c r="B69" s="17" t="s">
        <v>29</v>
      </c>
      <c r="C69" s="10" t="s">
        <v>30</v>
      </c>
      <c r="D69" s="10">
        <v>2019</v>
      </c>
      <c r="E69" s="11">
        <v>687952</v>
      </c>
      <c r="F69" s="11">
        <v>121568</v>
      </c>
      <c r="G69" s="11">
        <v>264607</v>
      </c>
      <c r="H69" s="11">
        <v>301777</v>
      </c>
      <c r="I69" s="11"/>
      <c r="J69" s="11">
        <v>639920</v>
      </c>
      <c r="K69" s="11">
        <v>364594</v>
      </c>
      <c r="L69" s="12">
        <v>20712</v>
      </c>
    </row>
    <row r="70" spans="2:12" x14ac:dyDescent="0.3">
      <c r="B70" s="17" t="s">
        <v>29</v>
      </c>
      <c r="C70" s="10" t="s">
        <v>30</v>
      </c>
      <c r="D70" s="52">
        <v>2020</v>
      </c>
      <c r="E70" s="11">
        <v>565544</v>
      </c>
      <c r="F70" s="11">
        <v>99761</v>
      </c>
      <c r="G70" s="11">
        <v>155765</v>
      </c>
      <c r="H70" s="11">
        <v>310017</v>
      </c>
      <c r="I70" s="11"/>
      <c r="J70" s="11">
        <v>580168</v>
      </c>
      <c r="K70" s="11">
        <v>315556</v>
      </c>
      <c r="L70" s="40">
        <v>-25811</v>
      </c>
    </row>
    <row r="71" spans="2:12" x14ac:dyDescent="0.3">
      <c r="B71" s="17" t="s">
        <v>29</v>
      </c>
      <c r="C71" s="10" t="s">
        <v>30</v>
      </c>
      <c r="D71" s="10">
        <v>2021</v>
      </c>
      <c r="E71" s="11">
        <v>578611</v>
      </c>
      <c r="F71" s="11">
        <v>8310</v>
      </c>
      <c r="G71" s="11">
        <v>298388</v>
      </c>
      <c r="H71" s="11">
        <v>271912</v>
      </c>
      <c r="I71" s="11"/>
      <c r="J71" s="11">
        <v>630494</v>
      </c>
      <c r="K71" s="11">
        <v>377764</v>
      </c>
      <c r="L71" s="40">
        <v>-107984</v>
      </c>
    </row>
    <row r="72" spans="2:12" x14ac:dyDescent="0.3">
      <c r="B72" s="17" t="s">
        <v>29</v>
      </c>
      <c r="C72" s="10" t="s">
        <v>30</v>
      </c>
      <c r="D72" s="52">
        <v>2022</v>
      </c>
      <c r="E72" s="11">
        <v>694009</v>
      </c>
      <c r="F72" s="11">
        <v>131535</v>
      </c>
      <c r="G72" s="11">
        <v>255667</v>
      </c>
      <c r="H72" s="11">
        <v>306805</v>
      </c>
      <c r="I72" s="11"/>
      <c r="J72" s="11">
        <v>824098</v>
      </c>
      <c r="K72" s="11">
        <v>457127</v>
      </c>
      <c r="L72" s="40">
        <v>-137456</v>
      </c>
    </row>
    <row r="73" spans="2:12" x14ac:dyDescent="0.3">
      <c r="B73" s="17" t="s">
        <v>29</v>
      </c>
      <c r="C73" s="10" t="s">
        <v>30</v>
      </c>
      <c r="D73" s="10">
        <v>2023</v>
      </c>
      <c r="E73" s="11">
        <v>756683</v>
      </c>
      <c r="F73" s="11">
        <v>159202</v>
      </c>
      <c r="G73" s="11">
        <v>244013</v>
      </c>
      <c r="H73" s="11">
        <v>353467</v>
      </c>
      <c r="I73" s="11"/>
      <c r="J73" s="11">
        <v>794863</v>
      </c>
      <c r="K73" s="11">
        <v>386713</v>
      </c>
      <c r="L73" s="40">
        <v>-33467</v>
      </c>
    </row>
    <row r="74" spans="2:12" x14ac:dyDescent="0.3">
      <c r="B74" s="17" t="s">
        <v>29</v>
      </c>
      <c r="C74" s="10" t="s">
        <v>30</v>
      </c>
      <c r="D74" s="52">
        <v>2024</v>
      </c>
      <c r="E74" s="11">
        <v>786164</v>
      </c>
      <c r="F74" s="11">
        <v>162915</v>
      </c>
      <c r="G74" s="11">
        <v>263433</v>
      </c>
      <c r="H74" s="11">
        <v>359816</v>
      </c>
      <c r="I74" s="11"/>
      <c r="J74" s="11">
        <v>913013</v>
      </c>
      <c r="K74" s="11">
        <v>433286</v>
      </c>
      <c r="L74" s="40">
        <v>-134432</v>
      </c>
    </row>
    <row r="75" spans="2:12" ht="15" thickBot="1" x14ac:dyDescent="0.35">
      <c r="B75" s="18" t="s">
        <v>29</v>
      </c>
      <c r="C75" s="19" t="s">
        <v>30</v>
      </c>
      <c r="D75" s="19">
        <v>2025</v>
      </c>
      <c r="E75" s="11">
        <v>771156</v>
      </c>
      <c r="F75" s="15">
        <v>185424</v>
      </c>
      <c r="G75" s="15">
        <v>200134</v>
      </c>
      <c r="H75" s="15">
        <v>385598</v>
      </c>
      <c r="I75" s="15"/>
      <c r="J75" s="15">
        <v>848874</v>
      </c>
      <c r="K75" s="15">
        <v>362437</v>
      </c>
      <c r="L75" s="42">
        <v>-38207</v>
      </c>
    </row>
    <row r="76" spans="2:12" x14ac:dyDescent="0.3">
      <c r="B76" s="21" t="s">
        <v>29</v>
      </c>
      <c r="C76" s="22" t="s">
        <v>31</v>
      </c>
      <c r="D76" s="53">
        <v>2014</v>
      </c>
      <c r="E76" s="23">
        <v>439189</v>
      </c>
      <c r="F76" s="28"/>
      <c r="G76" s="28"/>
      <c r="H76" s="28"/>
      <c r="I76" s="28"/>
      <c r="J76" s="23">
        <v>461727</v>
      </c>
      <c r="K76" s="28"/>
      <c r="L76" s="43">
        <v>-28913</v>
      </c>
    </row>
    <row r="77" spans="2:12" x14ac:dyDescent="0.3">
      <c r="B77" s="26" t="s">
        <v>29</v>
      </c>
      <c r="C77" s="27" t="s">
        <v>31</v>
      </c>
      <c r="D77" s="27">
        <v>2015</v>
      </c>
      <c r="E77" s="28">
        <v>501348</v>
      </c>
      <c r="F77" s="28"/>
      <c r="G77" s="28"/>
      <c r="H77" s="28"/>
      <c r="I77" s="28"/>
      <c r="J77" s="28">
        <v>498571</v>
      </c>
      <c r="K77" s="28"/>
      <c r="L77" s="29">
        <v>15285</v>
      </c>
    </row>
    <row r="78" spans="2:12" x14ac:dyDescent="0.3">
      <c r="B78" s="26" t="s">
        <v>29</v>
      </c>
      <c r="C78" s="27" t="s">
        <v>31</v>
      </c>
      <c r="D78" s="27">
        <v>2016</v>
      </c>
      <c r="E78" s="28">
        <v>464415</v>
      </c>
      <c r="F78" s="28"/>
      <c r="G78" s="28"/>
      <c r="H78" s="28"/>
      <c r="I78" s="28"/>
      <c r="J78" s="28">
        <v>461101</v>
      </c>
      <c r="K78" s="28"/>
      <c r="L78" s="29">
        <v>24231</v>
      </c>
    </row>
    <row r="79" spans="2:12" x14ac:dyDescent="0.3">
      <c r="B79" s="26" t="s">
        <v>29</v>
      </c>
      <c r="C79" s="27" t="s">
        <v>31</v>
      </c>
      <c r="D79" s="27">
        <v>2017</v>
      </c>
      <c r="E79" s="28">
        <v>531020</v>
      </c>
      <c r="F79" s="28"/>
      <c r="G79" s="28"/>
      <c r="H79" s="28"/>
      <c r="I79" s="28"/>
      <c r="J79" s="28">
        <v>564700</v>
      </c>
      <c r="K79" s="28"/>
      <c r="L79" s="29">
        <v>1214</v>
      </c>
    </row>
    <row r="80" spans="2:12" x14ac:dyDescent="0.3">
      <c r="B80" s="26" t="s">
        <v>29</v>
      </c>
      <c r="C80" s="27" t="s">
        <v>31</v>
      </c>
      <c r="D80" s="27">
        <v>2018</v>
      </c>
      <c r="E80" s="28">
        <v>564916</v>
      </c>
      <c r="F80" s="28"/>
      <c r="G80" s="28"/>
      <c r="H80" s="28"/>
      <c r="I80" s="28"/>
      <c r="J80" s="28">
        <v>589783</v>
      </c>
      <c r="K80" s="28"/>
      <c r="L80" s="29">
        <v>11711</v>
      </c>
    </row>
    <row r="81" spans="2:12" x14ac:dyDescent="0.3">
      <c r="B81" s="26" t="s">
        <v>29</v>
      </c>
      <c r="C81" s="27" t="s">
        <v>31</v>
      </c>
      <c r="D81" s="27">
        <v>2019</v>
      </c>
      <c r="E81" s="28">
        <v>590372</v>
      </c>
      <c r="F81" s="28"/>
      <c r="G81" s="28"/>
      <c r="H81" s="28"/>
      <c r="I81" s="28"/>
      <c r="J81" s="28">
        <v>614664</v>
      </c>
      <c r="K81" s="28"/>
      <c r="L81" s="29">
        <v>11056</v>
      </c>
    </row>
    <row r="82" spans="2:12" x14ac:dyDescent="0.3">
      <c r="B82" s="26" t="s">
        <v>29</v>
      </c>
      <c r="C82" s="27" t="s">
        <v>31</v>
      </c>
      <c r="D82" s="27">
        <v>2020</v>
      </c>
      <c r="E82" s="28">
        <v>535055</v>
      </c>
      <c r="F82" s="28"/>
      <c r="G82" s="28"/>
      <c r="H82" s="28"/>
      <c r="I82" s="28"/>
      <c r="J82" s="28">
        <v>712349</v>
      </c>
      <c r="K82" s="28"/>
      <c r="L82" s="40">
        <v>-140001</v>
      </c>
    </row>
    <row r="83" spans="2:12" x14ac:dyDescent="0.3">
      <c r="B83" s="26" t="s">
        <v>29</v>
      </c>
      <c r="C83" s="27" t="s">
        <v>31</v>
      </c>
      <c r="D83" s="27">
        <v>2021</v>
      </c>
      <c r="E83" s="28">
        <v>668749</v>
      </c>
      <c r="F83" s="28"/>
      <c r="G83" s="28"/>
      <c r="H83" s="28"/>
      <c r="I83" s="28"/>
      <c r="J83" s="28">
        <v>737539</v>
      </c>
      <c r="K83" s="28"/>
      <c r="L83" s="29">
        <v>2771</v>
      </c>
    </row>
    <row r="84" spans="2:12" x14ac:dyDescent="0.3">
      <c r="B84" s="26" t="s">
        <v>29</v>
      </c>
      <c r="C84" s="27" t="s">
        <v>31</v>
      </c>
      <c r="D84" s="27">
        <v>2022</v>
      </c>
      <c r="E84" s="28">
        <v>736707</v>
      </c>
      <c r="F84" s="28"/>
      <c r="G84" s="28"/>
      <c r="H84" s="28"/>
      <c r="I84" s="28"/>
      <c r="J84" s="28">
        <v>762180</v>
      </c>
      <c r="K84" s="28"/>
      <c r="L84" s="29">
        <v>49653</v>
      </c>
    </row>
    <row r="85" spans="2:12" x14ac:dyDescent="0.3">
      <c r="B85" s="26" t="s">
        <v>29</v>
      </c>
      <c r="C85" s="27" t="s">
        <v>31</v>
      </c>
      <c r="D85" s="27">
        <v>2023</v>
      </c>
      <c r="E85" s="28">
        <v>838167</v>
      </c>
      <c r="F85" s="28"/>
      <c r="G85" s="28"/>
      <c r="H85" s="28"/>
      <c r="I85" s="28"/>
      <c r="J85" s="28">
        <v>879756</v>
      </c>
      <c r="K85" s="28"/>
      <c r="L85" s="29">
        <v>93792</v>
      </c>
    </row>
    <row r="86" spans="2:12" x14ac:dyDescent="0.3">
      <c r="B86" s="26" t="s">
        <v>29</v>
      </c>
      <c r="C86" s="27" t="s">
        <v>31</v>
      </c>
      <c r="D86" s="27">
        <v>2024</v>
      </c>
      <c r="E86" s="28">
        <v>854735</v>
      </c>
      <c r="F86" s="28"/>
      <c r="G86" s="28"/>
      <c r="H86" s="28"/>
      <c r="I86" s="28"/>
      <c r="J86" s="28">
        <v>926605</v>
      </c>
      <c r="K86" s="28"/>
      <c r="L86" s="29">
        <v>87623</v>
      </c>
    </row>
    <row r="87" spans="2:12" ht="15" thickBot="1" x14ac:dyDescent="0.35">
      <c r="B87" s="34" t="s">
        <v>29</v>
      </c>
      <c r="C87" s="37" t="s">
        <v>31</v>
      </c>
      <c r="D87" s="31">
        <v>2025</v>
      </c>
      <c r="E87" s="28">
        <v>806346</v>
      </c>
      <c r="F87" s="32"/>
      <c r="G87" s="32"/>
      <c r="H87" s="32"/>
      <c r="I87" s="32"/>
      <c r="J87" s="38">
        <v>914297</v>
      </c>
      <c r="K87" s="38"/>
      <c r="L87" s="41">
        <v>-11472</v>
      </c>
    </row>
    <row r="88" spans="2:12" x14ac:dyDescent="0.3">
      <c r="B88" s="16" t="s">
        <v>29</v>
      </c>
      <c r="C88" s="6" t="s">
        <v>32</v>
      </c>
      <c r="D88" s="52">
        <v>2005</v>
      </c>
      <c r="E88" s="7">
        <v>200534</v>
      </c>
      <c r="F88" s="8"/>
      <c r="G88" s="8"/>
      <c r="H88" s="8"/>
      <c r="I88" s="8"/>
      <c r="J88" s="7">
        <v>174976</v>
      </c>
      <c r="K88" s="7"/>
      <c r="L88" s="9">
        <v>12016</v>
      </c>
    </row>
    <row r="89" spans="2:12" x14ac:dyDescent="0.3">
      <c r="B89" s="17" t="s">
        <v>29</v>
      </c>
      <c r="C89" s="10" t="s">
        <v>32</v>
      </c>
      <c r="D89" s="10">
        <v>2006</v>
      </c>
      <c r="E89" s="11">
        <v>200777</v>
      </c>
      <c r="F89" s="11"/>
      <c r="G89" s="11"/>
      <c r="H89" s="11"/>
      <c r="I89" s="11"/>
      <c r="J89" s="11">
        <v>206540</v>
      </c>
      <c r="K89" s="11"/>
      <c r="L89" s="12">
        <v>11560</v>
      </c>
    </row>
    <row r="90" spans="2:12" x14ac:dyDescent="0.3">
      <c r="B90" s="17" t="s">
        <v>29</v>
      </c>
      <c r="C90" s="10" t="s">
        <v>32</v>
      </c>
      <c r="D90" s="52">
        <v>2007</v>
      </c>
      <c r="E90" s="11">
        <v>298051</v>
      </c>
      <c r="F90" s="11"/>
      <c r="G90" s="11"/>
      <c r="H90" s="11"/>
      <c r="I90" s="11"/>
      <c r="J90" s="11">
        <v>263361</v>
      </c>
      <c r="K90" s="11"/>
      <c r="L90" s="12">
        <v>4178</v>
      </c>
    </row>
    <row r="91" spans="2:12" x14ac:dyDescent="0.3">
      <c r="B91" s="17" t="s">
        <v>29</v>
      </c>
      <c r="C91" s="10" t="s">
        <v>32</v>
      </c>
      <c r="D91" s="10">
        <v>2008</v>
      </c>
      <c r="E91" s="11">
        <v>283617</v>
      </c>
      <c r="F91" s="11"/>
      <c r="G91" s="11"/>
      <c r="H91" s="11"/>
      <c r="I91" s="11"/>
      <c r="J91" s="11">
        <v>249613</v>
      </c>
      <c r="K91" s="11"/>
      <c r="L91" s="12">
        <v>32723</v>
      </c>
    </row>
    <row r="92" spans="2:12" x14ac:dyDescent="0.3">
      <c r="B92" s="17" t="s">
        <v>29</v>
      </c>
      <c r="C92" s="10" t="s">
        <v>32</v>
      </c>
      <c r="D92" s="52">
        <v>2009</v>
      </c>
      <c r="E92" s="11">
        <v>367546</v>
      </c>
      <c r="F92" s="11"/>
      <c r="G92" s="11"/>
      <c r="H92" s="11"/>
      <c r="I92" s="11"/>
      <c r="J92" s="11">
        <v>322370</v>
      </c>
      <c r="K92" s="11"/>
      <c r="L92" s="12">
        <v>41324</v>
      </c>
    </row>
    <row r="93" spans="2:12" x14ac:dyDescent="0.3">
      <c r="B93" s="17" t="s">
        <v>29</v>
      </c>
      <c r="C93" s="10" t="s">
        <v>32</v>
      </c>
      <c r="D93" s="10">
        <v>2010</v>
      </c>
      <c r="E93" s="11">
        <v>456586</v>
      </c>
      <c r="F93" s="11"/>
      <c r="G93" s="11"/>
      <c r="H93" s="11"/>
      <c r="I93" s="11"/>
      <c r="J93" s="11">
        <v>413854</v>
      </c>
      <c r="K93" s="11"/>
      <c r="L93" s="12">
        <v>73312</v>
      </c>
    </row>
    <row r="94" spans="2:12" x14ac:dyDescent="0.3">
      <c r="B94" s="17" t="s">
        <v>29</v>
      </c>
      <c r="C94" s="10" t="s">
        <v>32</v>
      </c>
      <c r="D94" s="52">
        <v>2011</v>
      </c>
      <c r="E94" s="11">
        <v>291488</v>
      </c>
      <c r="F94" s="11"/>
      <c r="G94" s="11"/>
      <c r="H94" s="11"/>
      <c r="I94" s="11"/>
      <c r="J94" s="11">
        <v>266516</v>
      </c>
      <c r="K94" s="11"/>
      <c r="L94" s="12">
        <v>14401</v>
      </c>
    </row>
    <row r="95" spans="2:12" x14ac:dyDescent="0.3">
      <c r="B95" s="17" t="s">
        <v>29</v>
      </c>
      <c r="C95" s="10" t="s">
        <v>32</v>
      </c>
      <c r="D95" s="10">
        <v>2012</v>
      </c>
      <c r="E95" s="11">
        <v>309598</v>
      </c>
      <c r="F95" s="11"/>
      <c r="G95" s="11"/>
      <c r="H95" s="11"/>
      <c r="I95" s="11"/>
      <c r="J95" s="11">
        <v>330395</v>
      </c>
      <c r="K95" s="11"/>
      <c r="L95" s="12">
        <v>37701</v>
      </c>
    </row>
    <row r="96" spans="2:12" x14ac:dyDescent="0.3">
      <c r="B96" s="17" t="s">
        <v>29</v>
      </c>
      <c r="C96" s="10" t="s">
        <v>32</v>
      </c>
      <c r="D96" s="52">
        <v>2013</v>
      </c>
      <c r="E96" s="11">
        <v>320467</v>
      </c>
      <c r="F96" s="11"/>
      <c r="G96" s="11"/>
      <c r="H96" s="11"/>
      <c r="I96" s="11"/>
      <c r="J96" s="11">
        <v>352792</v>
      </c>
      <c r="K96" s="11"/>
      <c r="L96" s="12">
        <v>6635</v>
      </c>
    </row>
    <row r="97" spans="2:13" x14ac:dyDescent="0.3">
      <c r="B97" s="17" t="s">
        <v>29</v>
      </c>
      <c r="C97" s="10" t="s">
        <v>32</v>
      </c>
      <c r="D97" s="10">
        <v>2014</v>
      </c>
      <c r="E97" s="11">
        <v>380660</v>
      </c>
      <c r="F97" s="11"/>
      <c r="G97" s="11"/>
      <c r="H97" s="11"/>
      <c r="I97" s="11"/>
      <c r="J97" s="11">
        <v>367969</v>
      </c>
      <c r="K97" s="11"/>
      <c r="L97" s="12">
        <v>9168</v>
      </c>
    </row>
    <row r="98" spans="2:13" x14ac:dyDescent="0.3">
      <c r="B98" s="17" t="s">
        <v>29</v>
      </c>
      <c r="C98" s="10" t="s">
        <v>32</v>
      </c>
      <c r="D98" s="52">
        <v>2015</v>
      </c>
      <c r="E98" s="11">
        <v>489913</v>
      </c>
      <c r="F98" s="11"/>
      <c r="G98" s="11"/>
      <c r="H98" s="11"/>
      <c r="I98" s="11"/>
      <c r="J98" s="11">
        <v>478879</v>
      </c>
      <c r="K98" s="11"/>
      <c r="L98" s="12">
        <v>28502</v>
      </c>
    </row>
    <row r="99" spans="2:13" x14ac:dyDescent="0.3">
      <c r="B99" s="17" t="s">
        <v>29</v>
      </c>
      <c r="C99" s="10" t="s">
        <v>32</v>
      </c>
      <c r="D99" s="10">
        <v>2016</v>
      </c>
      <c r="E99" s="11">
        <v>418236</v>
      </c>
      <c r="F99" s="11"/>
      <c r="G99" s="11"/>
      <c r="H99" s="11"/>
      <c r="I99" s="11"/>
      <c r="J99" s="11">
        <v>418236</v>
      </c>
      <c r="K99" s="11"/>
      <c r="L99" s="12">
        <v>1950</v>
      </c>
    </row>
    <row r="100" spans="2:13" x14ac:dyDescent="0.3">
      <c r="B100" s="17" t="s">
        <v>29</v>
      </c>
      <c r="C100" s="10" t="s">
        <v>32</v>
      </c>
      <c r="D100" s="52">
        <v>2017</v>
      </c>
      <c r="E100" s="11">
        <v>473136</v>
      </c>
      <c r="F100" s="11"/>
      <c r="G100" s="11"/>
      <c r="H100" s="11"/>
      <c r="I100" s="11"/>
      <c r="J100" s="11">
        <v>415119</v>
      </c>
      <c r="K100" s="11"/>
      <c r="L100" s="12">
        <v>39379</v>
      </c>
    </row>
    <row r="101" spans="2:13" x14ac:dyDescent="0.3">
      <c r="B101" s="17" t="s">
        <v>29</v>
      </c>
      <c r="C101" s="10" t="s">
        <v>32</v>
      </c>
      <c r="D101" s="10">
        <v>2018</v>
      </c>
      <c r="E101" s="11">
        <v>452467</v>
      </c>
      <c r="F101" s="11"/>
      <c r="G101" s="11"/>
      <c r="H101" s="11"/>
      <c r="I101" s="11"/>
      <c r="J101" s="11">
        <v>499601</v>
      </c>
      <c r="K101" s="11"/>
      <c r="L101" s="12">
        <v>63453</v>
      </c>
    </row>
    <row r="102" spans="2:13" x14ac:dyDescent="0.3">
      <c r="B102" s="17" t="s">
        <v>29</v>
      </c>
      <c r="C102" s="10" t="s">
        <v>32</v>
      </c>
      <c r="D102" s="52">
        <v>2019</v>
      </c>
      <c r="E102" s="11">
        <v>433928</v>
      </c>
      <c r="F102" s="11"/>
      <c r="G102" s="11"/>
      <c r="H102" s="11"/>
      <c r="I102" s="11"/>
      <c r="J102" s="11">
        <v>469736</v>
      </c>
      <c r="K102" s="11"/>
      <c r="L102" s="40">
        <v>-29700</v>
      </c>
    </row>
    <row r="103" spans="2:13" x14ac:dyDescent="0.3">
      <c r="B103" s="17" t="s">
        <v>29</v>
      </c>
      <c r="C103" s="10" t="s">
        <v>32</v>
      </c>
      <c r="D103" s="10">
        <v>2020</v>
      </c>
      <c r="E103" s="11">
        <v>382769</v>
      </c>
      <c r="F103" s="11"/>
      <c r="G103" s="11"/>
      <c r="H103" s="11"/>
      <c r="I103" s="11"/>
      <c r="J103" s="11">
        <v>492712</v>
      </c>
      <c r="K103" s="11"/>
      <c r="L103" s="40">
        <v>-53081</v>
      </c>
    </row>
    <row r="104" spans="2:13" x14ac:dyDescent="0.3">
      <c r="B104" s="17" t="s">
        <v>29</v>
      </c>
      <c r="C104" s="10" t="s">
        <v>32</v>
      </c>
      <c r="D104" s="52">
        <v>2021</v>
      </c>
      <c r="E104" s="11">
        <v>384347</v>
      </c>
      <c r="F104" s="11"/>
      <c r="G104" s="11"/>
      <c r="H104" s="11"/>
      <c r="I104" s="11"/>
      <c r="J104" s="11">
        <v>498958</v>
      </c>
      <c r="K104" s="11"/>
      <c r="L104" s="40">
        <v>-125675</v>
      </c>
    </row>
    <row r="105" spans="2:13" x14ac:dyDescent="0.3">
      <c r="B105" s="17" t="s">
        <v>29</v>
      </c>
      <c r="C105" s="10" t="s">
        <v>32</v>
      </c>
      <c r="D105" s="10">
        <v>2022</v>
      </c>
      <c r="E105" s="11">
        <v>442569</v>
      </c>
      <c r="F105" s="11"/>
      <c r="G105" s="11"/>
      <c r="H105" s="11"/>
      <c r="I105" s="11"/>
      <c r="J105" s="11">
        <v>515141</v>
      </c>
      <c r="K105" s="11"/>
      <c r="L105" s="40">
        <v>-54123</v>
      </c>
    </row>
    <row r="106" spans="2:13" x14ac:dyDescent="0.3">
      <c r="B106" s="17" t="s">
        <v>29</v>
      </c>
      <c r="C106" s="10" t="s">
        <v>32</v>
      </c>
      <c r="D106" s="52">
        <v>2023</v>
      </c>
      <c r="E106" s="11">
        <v>544621</v>
      </c>
      <c r="F106" s="11"/>
      <c r="G106" s="11"/>
      <c r="H106" s="11"/>
      <c r="I106" s="11"/>
      <c r="J106" s="11">
        <v>609091</v>
      </c>
      <c r="K106" s="11"/>
      <c r="L106" s="40">
        <v>-60828</v>
      </c>
    </row>
    <row r="107" spans="2:13" x14ac:dyDescent="0.3">
      <c r="B107" s="17" t="s">
        <v>29</v>
      </c>
      <c r="C107" s="10" t="s">
        <v>32</v>
      </c>
      <c r="D107" s="10">
        <v>2024</v>
      </c>
      <c r="E107" s="11">
        <v>732497</v>
      </c>
      <c r="F107" s="11"/>
      <c r="G107" s="11"/>
      <c r="H107" s="11"/>
      <c r="I107" s="11"/>
      <c r="J107" s="11">
        <v>789989</v>
      </c>
      <c r="K107" s="11"/>
      <c r="L107" s="40">
        <v>-21012</v>
      </c>
    </row>
    <row r="108" spans="2:13" ht="15" thickBot="1" x14ac:dyDescent="0.35">
      <c r="B108" s="18" t="s">
        <v>29</v>
      </c>
      <c r="C108" s="19" t="s">
        <v>32</v>
      </c>
      <c r="D108" s="19">
        <v>2025</v>
      </c>
      <c r="E108" s="15">
        <v>799484</v>
      </c>
      <c r="F108" s="15"/>
      <c r="G108" s="15"/>
      <c r="H108" s="15"/>
      <c r="I108" s="15"/>
      <c r="J108" s="15">
        <v>872616</v>
      </c>
      <c r="K108" s="15"/>
      <c r="L108" s="42">
        <v>-1593</v>
      </c>
    </row>
    <row r="109" spans="2:13" x14ac:dyDescent="0.3">
      <c r="B109" s="26" t="s">
        <v>33</v>
      </c>
      <c r="C109" s="27" t="s">
        <v>34</v>
      </c>
      <c r="D109" s="53">
        <v>2006</v>
      </c>
      <c r="E109" s="24">
        <v>220312</v>
      </c>
      <c r="F109" s="28">
        <v>17508</v>
      </c>
      <c r="G109" s="28">
        <v>127526</v>
      </c>
      <c r="H109" s="28">
        <v>55399</v>
      </c>
      <c r="I109" s="28">
        <v>19879</v>
      </c>
      <c r="J109" s="28">
        <v>203752</v>
      </c>
      <c r="K109" s="28">
        <v>135341</v>
      </c>
      <c r="L109" s="40">
        <v>-45986</v>
      </c>
      <c r="M109" s="44"/>
    </row>
    <row r="110" spans="2:13" x14ac:dyDescent="0.3">
      <c r="B110" s="26" t="s">
        <v>33</v>
      </c>
      <c r="C110" s="27" t="s">
        <v>34</v>
      </c>
      <c r="D110" s="27">
        <v>2007</v>
      </c>
      <c r="E110" s="28">
        <v>145151</v>
      </c>
      <c r="F110" s="28">
        <v>7742</v>
      </c>
      <c r="G110" s="28">
        <v>92995</v>
      </c>
      <c r="H110" s="28">
        <v>34497</v>
      </c>
      <c r="I110" s="28">
        <v>9917</v>
      </c>
      <c r="J110" s="28">
        <v>142870</v>
      </c>
      <c r="K110" s="28">
        <v>102890</v>
      </c>
      <c r="L110" s="40">
        <v>-927</v>
      </c>
      <c r="M110" s="44"/>
    </row>
    <row r="111" spans="2:13" x14ac:dyDescent="0.3">
      <c r="B111" s="26" t="s">
        <v>33</v>
      </c>
      <c r="C111" s="27" t="s">
        <v>34</v>
      </c>
      <c r="D111" s="27">
        <v>2008</v>
      </c>
      <c r="E111" s="28">
        <v>186601</v>
      </c>
      <c r="F111" s="28">
        <v>13980</v>
      </c>
      <c r="G111" s="28">
        <v>124249</v>
      </c>
      <c r="H111" s="28">
        <v>41172</v>
      </c>
      <c r="I111" s="28">
        <v>7200</v>
      </c>
      <c r="J111" s="28">
        <v>172311</v>
      </c>
      <c r="K111" s="28">
        <v>120862</v>
      </c>
      <c r="L111" s="40">
        <v>-20787</v>
      </c>
      <c r="M111" s="44"/>
    </row>
    <row r="112" spans="2:13" x14ac:dyDescent="0.3">
      <c r="B112" s="26" t="s">
        <v>33</v>
      </c>
      <c r="C112" s="27" t="s">
        <v>34</v>
      </c>
      <c r="D112" s="27">
        <v>2009</v>
      </c>
      <c r="E112" s="28">
        <v>223161</v>
      </c>
      <c r="F112" s="28">
        <v>18435</v>
      </c>
      <c r="G112" s="28">
        <v>150350</v>
      </c>
      <c r="H112" s="28">
        <v>46133</v>
      </c>
      <c r="I112" s="28">
        <v>8243</v>
      </c>
      <c r="J112" s="28">
        <v>191908</v>
      </c>
      <c r="K112" s="28">
        <v>137762</v>
      </c>
      <c r="L112" s="29">
        <v>6582</v>
      </c>
      <c r="M112" s="44"/>
    </row>
    <row r="113" spans="2:13" x14ac:dyDescent="0.3">
      <c r="B113" s="26" t="s">
        <v>33</v>
      </c>
      <c r="C113" s="27" t="s">
        <v>34</v>
      </c>
      <c r="D113" s="27">
        <v>2010</v>
      </c>
      <c r="E113" s="28">
        <v>205065</v>
      </c>
      <c r="F113" s="28">
        <v>16990</v>
      </c>
      <c r="G113" s="28">
        <v>132483</v>
      </c>
      <c r="H113" s="28">
        <v>45678</v>
      </c>
      <c r="I113" s="28">
        <v>9914</v>
      </c>
      <c r="J113" s="28">
        <v>172634</v>
      </c>
      <c r="K113" s="28">
        <v>138202</v>
      </c>
      <c r="L113" s="40">
        <v>-10967</v>
      </c>
      <c r="M113" s="44"/>
    </row>
    <row r="114" spans="2:13" x14ac:dyDescent="0.3">
      <c r="B114" s="26" t="s">
        <v>33</v>
      </c>
      <c r="C114" s="27" t="s">
        <v>34</v>
      </c>
      <c r="D114" s="27">
        <v>2011</v>
      </c>
      <c r="E114" s="28">
        <v>153826</v>
      </c>
      <c r="F114" s="28">
        <v>11552</v>
      </c>
      <c r="G114" s="28">
        <v>88711</v>
      </c>
      <c r="H114" s="28">
        <v>43270</v>
      </c>
      <c r="I114" s="28">
        <v>10293</v>
      </c>
      <c r="J114" s="28">
        <v>180127</v>
      </c>
      <c r="K114" s="28">
        <v>139653</v>
      </c>
      <c r="L114" s="40">
        <v>-95414</v>
      </c>
      <c r="M114" s="44"/>
    </row>
    <row r="115" spans="2:13" x14ac:dyDescent="0.3">
      <c r="B115" s="26" t="s">
        <v>33</v>
      </c>
      <c r="C115" s="27" t="s">
        <v>34</v>
      </c>
      <c r="D115" s="27">
        <v>2012</v>
      </c>
      <c r="E115" s="28">
        <v>195351</v>
      </c>
      <c r="F115" s="28">
        <v>31824</v>
      </c>
      <c r="G115" s="28">
        <v>90581</v>
      </c>
      <c r="H115" s="28">
        <v>53452</v>
      </c>
      <c r="I115" s="28">
        <v>19494</v>
      </c>
      <c r="J115" s="28">
        <v>200021</v>
      </c>
      <c r="K115" s="28">
        <v>150090</v>
      </c>
      <c r="L115" s="40">
        <v>-48654</v>
      </c>
      <c r="M115" s="44"/>
    </row>
    <row r="116" spans="2:13" x14ac:dyDescent="0.3">
      <c r="B116" s="26" t="s">
        <v>33</v>
      </c>
      <c r="C116" s="27" t="s">
        <v>34</v>
      </c>
      <c r="D116" s="27">
        <v>2013</v>
      </c>
      <c r="E116" s="28">
        <v>272402</v>
      </c>
      <c r="F116" s="28">
        <v>38051</v>
      </c>
      <c r="G116" s="28">
        <v>163477</v>
      </c>
      <c r="H116" s="28">
        <v>52598</v>
      </c>
      <c r="I116" s="28">
        <v>18276</v>
      </c>
      <c r="J116" s="28">
        <v>221511</v>
      </c>
      <c r="K116" s="28">
        <v>163462</v>
      </c>
      <c r="L116" s="40">
        <v>-15910</v>
      </c>
      <c r="M116" s="44"/>
    </row>
    <row r="117" spans="2:13" x14ac:dyDescent="0.3">
      <c r="B117" s="26" t="s">
        <v>33</v>
      </c>
      <c r="C117" s="27" t="s">
        <v>34</v>
      </c>
      <c r="D117" s="27">
        <v>2014</v>
      </c>
      <c r="E117" s="28">
        <v>279350</v>
      </c>
      <c r="F117" s="28">
        <v>40996</v>
      </c>
      <c r="G117" s="28">
        <v>150965</v>
      </c>
      <c r="H117" s="28">
        <v>60299</v>
      </c>
      <c r="I117" s="28">
        <v>27090</v>
      </c>
      <c r="J117" s="28">
        <v>242782</v>
      </c>
      <c r="K117" s="28">
        <v>184089</v>
      </c>
      <c r="L117" s="40">
        <v>-6674</v>
      </c>
      <c r="M117" s="44"/>
    </row>
    <row r="118" spans="2:13" x14ac:dyDescent="0.3">
      <c r="B118" s="26" t="s">
        <v>33</v>
      </c>
      <c r="C118" s="27" t="s">
        <v>34</v>
      </c>
      <c r="D118" s="27">
        <v>2015</v>
      </c>
      <c r="E118" s="28">
        <v>327664</v>
      </c>
      <c r="F118" s="28">
        <v>54368</v>
      </c>
      <c r="G118" s="28">
        <v>194710</v>
      </c>
      <c r="H118" s="28">
        <v>53755</v>
      </c>
      <c r="I118" s="28">
        <v>24831</v>
      </c>
      <c r="J118" s="28">
        <v>256765</v>
      </c>
      <c r="K118" s="28">
        <v>198429</v>
      </c>
      <c r="L118" s="29">
        <v>2298</v>
      </c>
      <c r="M118" s="44"/>
    </row>
    <row r="119" spans="2:13" x14ac:dyDescent="0.3">
      <c r="B119" s="26" t="s">
        <v>33</v>
      </c>
      <c r="C119" s="27" t="s">
        <v>34</v>
      </c>
      <c r="D119" s="27">
        <v>2016</v>
      </c>
      <c r="E119" s="28">
        <v>341495</v>
      </c>
      <c r="F119" s="28">
        <v>43667</v>
      </c>
      <c r="G119" s="28">
        <v>194897</v>
      </c>
      <c r="H119" s="28">
        <v>83517</v>
      </c>
      <c r="I119" s="28">
        <v>19414</v>
      </c>
      <c r="J119" s="28">
        <v>289153</v>
      </c>
      <c r="K119" s="28">
        <v>221482</v>
      </c>
      <c r="L119" s="29">
        <v>4062</v>
      </c>
      <c r="M119" s="44"/>
    </row>
    <row r="120" spans="2:13" x14ac:dyDescent="0.3">
      <c r="B120" s="26" t="s">
        <v>33</v>
      </c>
      <c r="C120" s="27" t="s">
        <v>34</v>
      </c>
      <c r="D120" s="27">
        <v>2017</v>
      </c>
      <c r="E120" s="28">
        <v>411558</v>
      </c>
      <c r="F120" s="28">
        <v>57835</v>
      </c>
      <c r="G120" s="28">
        <v>232773</v>
      </c>
      <c r="H120" s="28">
        <v>93916</v>
      </c>
      <c r="I120" s="28">
        <v>27034</v>
      </c>
      <c r="J120" s="28">
        <v>350199</v>
      </c>
      <c r="K120" s="28">
        <v>261825</v>
      </c>
      <c r="L120" s="29">
        <v>42567</v>
      </c>
      <c r="M120" s="44"/>
    </row>
    <row r="121" spans="2:13" x14ac:dyDescent="0.3">
      <c r="B121" s="26" t="s">
        <v>33</v>
      </c>
      <c r="C121" s="27" t="s">
        <v>34</v>
      </c>
      <c r="D121" s="27">
        <v>2018</v>
      </c>
      <c r="E121" s="28">
        <v>402266</v>
      </c>
      <c r="F121" s="28">
        <v>56410</v>
      </c>
      <c r="G121" s="28">
        <v>200169</v>
      </c>
      <c r="H121" s="28">
        <v>114692</v>
      </c>
      <c r="I121" s="28">
        <v>30995</v>
      </c>
      <c r="J121" s="28">
        <v>363153</v>
      </c>
      <c r="K121" s="28">
        <v>259002</v>
      </c>
      <c r="L121" s="40">
        <v>-19228</v>
      </c>
      <c r="M121" s="44"/>
    </row>
    <row r="122" spans="2:13" x14ac:dyDescent="0.3">
      <c r="B122" s="26" t="s">
        <v>33</v>
      </c>
      <c r="C122" s="27" t="s">
        <v>34</v>
      </c>
      <c r="D122" s="27">
        <v>2019</v>
      </c>
      <c r="E122" s="28">
        <v>464266</v>
      </c>
      <c r="F122" s="28">
        <v>70652</v>
      </c>
      <c r="G122" s="28">
        <v>206642</v>
      </c>
      <c r="H122" s="28">
        <v>152868</v>
      </c>
      <c r="I122" s="28">
        <v>34104</v>
      </c>
      <c r="J122" s="28">
        <v>442940</v>
      </c>
      <c r="K122" s="28">
        <v>327750</v>
      </c>
      <c r="L122" s="40">
        <v>-39895</v>
      </c>
      <c r="M122" s="44"/>
    </row>
    <row r="123" spans="2:13" x14ac:dyDescent="0.3">
      <c r="B123" s="26" t="s">
        <v>33</v>
      </c>
      <c r="C123" s="27" t="s">
        <v>34</v>
      </c>
      <c r="D123" s="27">
        <v>2020</v>
      </c>
      <c r="E123" s="28">
        <v>401401</v>
      </c>
      <c r="F123" s="28">
        <v>49200</v>
      </c>
      <c r="G123" s="28">
        <v>166378</v>
      </c>
      <c r="H123" s="28">
        <v>161285</v>
      </c>
      <c r="I123" s="28">
        <v>24538</v>
      </c>
      <c r="J123" s="28">
        <v>383000</v>
      </c>
      <c r="K123" s="28">
        <v>284338</v>
      </c>
      <c r="L123" s="40">
        <v>-89682</v>
      </c>
      <c r="M123" s="44"/>
    </row>
    <row r="124" spans="2:13" x14ac:dyDescent="0.3">
      <c r="B124" s="26" t="s">
        <v>33</v>
      </c>
      <c r="C124" s="27" t="s">
        <v>34</v>
      </c>
      <c r="D124" s="27">
        <v>2021</v>
      </c>
      <c r="E124" s="28">
        <v>437530</v>
      </c>
      <c r="F124" s="28">
        <v>7751</v>
      </c>
      <c r="G124" s="28">
        <v>235310</v>
      </c>
      <c r="H124" s="28">
        <v>171210</v>
      </c>
      <c r="I124" s="28">
        <v>23259</v>
      </c>
      <c r="J124" s="28">
        <v>412005</v>
      </c>
      <c r="K124" s="28">
        <v>322892</v>
      </c>
      <c r="L124" s="40">
        <v>-209885</v>
      </c>
      <c r="M124" s="44"/>
    </row>
    <row r="125" spans="2:13" x14ac:dyDescent="0.3">
      <c r="B125" s="26" t="s">
        <v>33</v>
      </c>
      <c r="C125" s="27" t="s">
        <v>34</v>
      </c>
      <c r="D125" s="27">
        <v>2022</v>
      </c>
      <c r="E125" s="28">
        <v>402595</v>
      </c>
      <c r="F125" s="28">
        <v>32293</v>
      </c>
      <c r="G125" s="28">
        <v>170517</v>
      </c>
      <c r="H125" s="28">
        <v>166972</v>
      </c>
      <c r="I125" s="28">
        <v>32813</v>
      </c>
      <c r="J125" s="28">
        <v>436497</v>
      </c>
      <c r="K125" s="28">
        <v>337035</v>
      </c>
      <c r="L125" s="40">
        <v>-239257</v>
      </c>
      <c r="M125" s="44"/>
    </row>
    <row r="126" spans="2:13" x14ac:dyDescent="0.3">
      <c r="B126" s="26" t="s">
        <v>33</v>
      </c>
      <c r="C126" s="27" t="s">
        <v>34</v>
      </c>
      <c r="D126" s="27">
        <v>2023</v>
      </c>
      <c r="E126" s="28">
        <v>437483</v>
      </c>
      <c r="F126" s="28">
        <v>61500</v>
      </c>
      <c r="G126" s="28">
        <v>157161</v>
      </c>
      <c r="H126" s="28">
        <v>178849</v>
      </c>
      <c r="I126" s="28">
        <v>39973</v>
      </c>
      <c r="J126" s="28">
        <v>415565</v>
      </c>
      <c r="K126" s="28">
        <v>282388</v>
      </c>
      <c r="L126" s="40">
        <v>-123693</v>
      </c>
      <c r="M126" s="44"/>
    </row>
    <row r="127" spans="2:13" x14ac:dyDescent="0.3">
      <c r="B127" s="26" t="s">
        <v>33</v>
      </c>
      <c r="C127" s="27" t="s">
        <v>34</v>
      </c>
      <c r="D127" s="27">
        <v>2024</v>
      </c>
      <c r="E127" s="28">
        <v>360393</v>
      </c>
      <c r="F127" s="28">
        <v>57748</v>
      </c>
      <c r="G127" s="28">
        <v>99728</v>
      </c>
      <c r="H127" s="28">
        <v>160508</v>
      </c>
      <c r="I127" s="28">
        <v>42409</v>
      </c>
      <c r="J127" s="28">
        <v>377900</v>
      </c>
      <c r="K127" s="28">
        <v>264105</v>
      </c>
      <c r="L127" s="40">
        <v>-199229</v>
      </c>
      <c r="M127" s="44"/>
    </row>
    <row r="128" spans="2:13" ht="15" thickBot="1" x14ac:dyDescent="0.35">
      <c r="B128" s="34" t="s">
        <v>33</v>
      </c>
      <c r="C128" s="37" t="s">
        <v>34</v>
      </c>
      <c r="D128" s="37">
        <v>2025</v>
      </c>
      <c r="E128" s="38">
        <v>419905</v>
      </c>
      <c r="F128" s="38">
        <v>65411</v>
      </c>
      <c r="G128" s="38">
        <v>177389</v>
      </c>
      <c r="H128" s="38">
        <v>115932</v>
      </c>
      <c r="I128" s="38">
        <v>61173</v>
      </c>
      <c r="J128" s="38">
        <v>361893</v>
      </c>
      <c r="K128" s="38">
        <v>244666</v>
      </c>
      <c r="L128" s="41">
        <v>-58146</v>
      </c>
      <c r="M128" s="44"/>
    </row>
    <row r="129" spans="2:12" x14ac:dyDescent="0.3">
      <c r="B129" s="16" t="s">
        <v>33</v>
      </c>
      <c r="C129" s="6" t="s">
        <v>35</v>
      </c>
      <c r="D129" s="6">
        <v>2018</v>
      </c>
      <c r="E129" s="7">
        <v>213671</v>
      </c>
      <c r="F129" s="7">
        <v>35338</v>
      </c>
      <c r="G129" s="7">
        <v>100578</v>
      </c>
      <c r="H129" s="7">
        <v>62471</v>
      </c>
      <c r="I129" s="7">
        <v>15284</v>
      </c>
      <c r="J129" s="7">
        <v>352159</v>
      </c>
      <c r="K129" s="7">
        <v>150397</v>
      </c>
      <c r="L129" s="43">
        <v>-126019</v>
      </c>
    </row>
    <row r="130" spans="2:12" x14ac:dyDescent="0.3">
      <c r="B130" s="17" t="s">
        <v>33</v>
      </c>
      <c r="C130" s="10" t="s">
        <v>35</v>
      </c>
      <c r="D130" s="10">
        <v>2019</v>
      </c>
      <c r="E130" s="11">
        <v>215582</v>
      </c>
      <c r="F130" s="11">
        <v>34112</v>
      </c>
      <c r="G130" s="11">
        <v>105048</v>
      </c>
      <c r="H130" s="11">
        <v>56847</v>
      </c>
      <c r="I130" s="11">
        <v>19575</v>
      </c>
      <c r="J130" s="11">
        <v>359589</v>
      </c>
      <c r="K130" s="11">
        <v>184822</v>
      </c>
      <c r="L130" s="40">
        <v>-145985</v>
      </c>
    </row>
    <row r="131" spans="2:12" x14ac:dyDescent="0.3">
      <c r="B131" s="17" t="s">
        <v>33</v>
      </c>
      <c r="C131" s="10" t="s">
        <v>35</v>
      </c>
      <c r="D131" s="10">
        <v>2020</v>
      </c>
      <c r="E131" s="11">
        <v>164180</v>
      </c>
      <c r="F131" s="11">
        <v>23629</v>
      </c>
      <c r="G131" s="11">
        <v>63385</v>
      </c>
      <c r="H131" s="11">
        <v>52245</v>
      </c>
      <c r="I131" s="11">
        <v>24921</v>
      </c>
      <c r="J131" s="11">
        <v>370756</v>
      </c>
      <c r="K131" s="11">
        <v>160878</v>
      </c>
      <c r="L131" s="40">
        <v>-194616</v>
      </c>
    </row>
    <row r="132" spans="2:12" x14ac:dyDescent="0.3">
      <c r="B132" s="17" t="s">
        <v>33</v>
      </c>
      <c r="C132" s="10" t="s">
        <v>35</v>
      </c>
      <c r="D132" s="10">
        <v>2021</v>
      </c>
      <c r="E132" s="11">
        <v>232711</v>
      </c>
      <c r="F132" s="11">
        <v>0</v>
      </c>
      <c r="G132" s="11">
        <v>138261</v>
      </c>
      <c r="H132" s="11">
        <v>65228</v>
      </c>
      <c r="I132" s="11">
        <v>29222</v>
      </c>
      <c r="J132" s="11">
        <v>331230</v>
      </c>
      <c r="K132" s="11">
        <v>169687</v>
      </c>
      <c r="L132" s="40">
        <v>-96416</v>
      </c>
    </row>
    <row r="133" spans="2:12" x14ac:dyDescent="0.3">
      <c r="B133" s="17" t="s">
        <v>33</v>
      </c>
      <c r="C133" s="10" t="s">
        <v>35</v>
      </c>
      <c r="D133" s="10">
        <v>2022</v>
      </c>
      <c r="E133" s="11">
        <v>287134</v>
      </c>
      <c r="F133" s="11">
        <v>32544</v>
      </c>
      <c r="G133" s="11">
        <v>133075</v>
      </c>
      <c r="H133" s="11">
        <v>82869</v>
      </c>
      <c r="I133" s="11">
        <v>38646</v>
      </c>
      <c r="J133" s="11">
        <v>342173</v>
      </c>
      <c r="K133" s="11">
        <v>170254</v>
      </c>
      <c r="L133" s="40">
        <v>-66537</v>
      </c>
    </row>
    <row r="134" spans="2:12" x14ac:dyDescent="0.3">
      <c r="B134" s="17" t="s">
        <v>33</v>
      </c>
      <c r="C134" s="10" t="s">
        <v>35</v>
      </c>
      <c r="D134" s="10">
        <v>2023</v>
      </c>
      <c r="E134" s="11">
        <v>397936</v>
      </c>
      <c r="F134" s="11">
        <v>72834</v>
      </c>
      <c r="G134" s="11">
        <v>174907</v>
      </c>
      <c r="H134" s="11">
        <v>127294</v>
      </c>
      <c r="I134" s="11">
        <v>22901</v>
      </c>
      <c r="J134" s="11">
        <v>385461</v>
      </c>
      <c r="K134" s="11">
        <v>173998</v>
      </c>
      <c r="L134" s="12">
        <v>6070</v>
      </c>
    </row>
    <row r="135" spans="2:12" x14ac:dyDescent="0.3">
      <c r="B135" s="17" t="s">
        <v>33</v>
      </c>
      <c r="C135" s="10" t="s">
        <v>35</v>
      </c>
      <c r="D135" s="10">
        <v>2024</v>
      </c>
      <c r="E135" s="11">
        <v>404709</v>
      </c>
      <c r="F135" s="11">
        <v>69348</v>
      </c>
      <c r="G135" s="11">
        <v>152323</v>
      </c>
      <c r="H135" s="11">
        <v>143449</v>
      </c>
      <c r="I135" s="11">
        <v>39589</v>
      </c>
      <c r="J135" s="11">
        <v>438737</v>
      </c>
      <c r="K135" s="11">
        <v>187284</v>
      </c>
      <c r="L135" s="12">
        <v>5090</v>
      </c>
    </row>
    <row r="136" spans="2:12" ht="15" thickBot="1" x14ac:dyDescent="0.35">
      <c r="B136" s="18" t="s">
        <v>33</v>
      </c>
      <c r="C136" s="19" t="s">
        <v>35</v>
      </c>
      <c r="D136" s="19">
        <v>2025</v>
      </c>
      <c r="E136" s="15">
        <v>429107</v>
      </c>
      <c r="F136" s="15">
        <v>69517</v>
      </c>
      <c r="G136" s="15">
        <v>154200</v>
      </c>
      <c r="H136" s="15">
        <v>152316</v>
      </c>
      <c r="I136" s="15">
        <v>53074</v>
      </c>
      <c r="J136" s="15">
        <v>468051</v>
      </c>
      <c r="K136" s="15">
        <v>188717</v>
      </c>
      <c r="L136" s="45">
        <v>2994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A9C8-50E9-4A84-88D8-51ED3DAB7927}">
  <dimension ref="B2:P136"/>
  <sheetViews>
    <sheetView zoomScale="90" zoomScaleNormal="90" workbookViewId="0">
      <pane xSplit="4" ySplit="5" topLeftCell="E65" activePane="bottomRight" state="frozen"/>
      <selection pane="topRight" activeCell="E1" sqref="E1"/>
      <selection pane="bottomLeft" activeCell="A6" sqref="A6"/>
      <selection pane="bottomRight" activeCell="K35" sqref="K35"/>
    </sheetView>
  </sheetViews>
  <sheetFormatPr baseColWidth="10" defaultRowHeight="14.4" x14ac:dyDescent="0.3"/>
  <cols>
    <col min="2" max="3" width="22.77734375" customWidth="1"/>
    <col min="4" max="13" width="19.77734375" customWidth="1"/>
    <col min="14" max="16" width="14.21875" customWidth="1"/>
  </cols>
  <sheetData>
    <row r="2" spans="2:15" ht="15" thickBot="1" x14ac:dyDescent="0.35"/>
    <row r="3" spans="2:15" ht="15" thickBot="1" x14ac:dyDescent="0.35">
      <c r="N3" s="39"/>
    </row>
    <row r="4" spans="2:15" ht="15" thickBot="1" x14ac:dyDescent="0.35"/>
    <row r="5" spans="2:15" ht="15" thickBot="1" x14ac:dyDescent="0.35">
      <c r="B5" s="1" t="s">
        <v>0</v>
      </c>
      <c r="C5" s="2" t="s">
        <v>1</v>
      </c>
      <c r="D5" s="2" t="s">
        <v>2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43</v>
      </c>
      <c r="J5" s="2" t="s">
        <v>44</v>
      </c>
      <c r="K5" s="2" t="s">
        <v>40</v>
      </c>
      <c r="L5" s="2" t="s">
        <v>41</v>
      </c>
      <c r="M5" s="3" t="s">
        <v>42</v>
      </c>
      <c r="O5" s="59" t="s">
        <v>51</v>
      </c>
    </row>
    <row r="6" spans="2:15" x14ac:dyDescent="0.3">
      <c r="B6" s="21" t="s">
        <v>3</v>
      </c>
      <c r="C6" s="22" t="s">
        <v>4</v>
      </c>
      <c r="D6" s="22" t="s">
        <v>10</v>
      </c>
      <c r="E6" s="24">
        <f>SUM(F6:J6)</f>
        <v>236001</v>
      </c>
      <c r="F6" s="23">
        <v>62575</v>
      </c>
      <c r="G6" s="23">
        <v>69517</v>
      </c>
      <c r="H6" s="23">
        <v>85305</v>
      </c>
      <c r="I6" s="23">
        <v>18604</v>
      </c>
      <c r="J6" s="23">
        <v>0</v>
      </c>
      <c r="K6" s="23">
        <f>11486+123646+50018-338+13204</f>
        <v>198016</v>
      </c>
      <c r="L6" s="23">
        <v>123646</v>
      </c>
      <c r="M6" s="25">
        <v>6065</v>
      </c>
      <c r="O6" s="68">
        <v>0</v>
      </c>
    </row>
    <row r="7" spans="2:15" x14ac:dyDescent="0.3">
      <c r="B7" s="26" t="s">
        <v>3</v>
      </c>
      <c r="C7" s="27" t="s">
        <v>4</v>
      </c>
      <c r="D7" s="27" t="s">
        <v>11</v>
      </c>
      <c r="E7" s="28">
        <f t="shared" ref="E7:E27" si="0">SUM(F7:J7)</f>
        <v>275653</v>
      </c>
      <c r="F7" s="28">
        <v>70815</v>
      </c>
      <c r="G7" s="28">
        <v>65149</v>
      </c>
      <c r="H7" s="28">
        <v>116818</v>
      </c>
      <c r="I7" s="28">
        <v>22871</v>
      </c>
      <c r="J7" s="28">
        <v>0</v>
      </c>
      <c r="K7" s="28">
        <f>8858+144483+74199+1440+16392</f>
        <v>245372</v>
      </c>
      <c r="L7" s="28">
        <v>144483</v>
      </c>
      <c r="M7" s="29">
        <v>6032</v>
      </c>
      <c r="O7" s="69">
        <v>0</v>
      </c>
    </row>
    <row r="8" spans="2:15" x14ac:dyDescent="0.3">
      <c r="B8" s="26" t="s">
        <v>3</v>
      </c>
      <c r="C8" s="27" t="s">
        <v>4</v>
      </c>
      <c r="D8" s="27" t="s">
        <v>12</v>
      </c>
      <c r="E8" s="28">
        <f t="shared" si="0"/>
        <v>292216</v>
      </c>
      <c r="F8" s="28">
        <v>84865</v>
      </c>
      <c r="G8" s="28">
        <v>72725</v>
      </c>
      <c r="H8" s="28">
        <v>115955</v>
      </c>
      <c r="I8" s="28">
        <v>18671</v>
      </c>
      <c r="J8" s="28">
        <v>0</v>
      </c>
      <c r="K8" s="28">
        <f>11904+135945+85062+1704+24089</f>
        <v>258704</v>
      </c>
      <c r="L8" s="28">
        <v>135945</v>
      </c>
      <c r="M8" s="29">
        <v>19541</v>
      </c>
      <c r="O8" s="69">
        <v>0</v>
      </c>
    </row>
    <row r="9" spans="2:15" x14ac:dyDescent="0.3">
      <c r="B9" s="26" t="s">
        <v>3</v>
      </c>
      <c r="C9" s="27" t="s">
        <v>4</v>
      </c>
      <c r="D9" s="27" t="s">
        <v>13</v>
      </c>
      <c r="E9" s="28">
        <f t="shared" si="0"/>
        <v>350950</v>
      </c>
      <c r="F9" s="28">
        <v>94384</v>
      </c>
      <c r="G9" s="28">
        <v>114865</v>
      </c>
      <c r="H9" s="28">
        <v>124178</v>
      </c>
      <c r="I9" s="28">
        <v>17523</v>
      </c>
      <c r="J9" s="28">
        <v>0</v>
      </c>
      <c r="K9" s="28">
        <f>13212+167476+88698+15403+38023</f>
        <v>322812</v>
      </c>
      <c r="L9" s="28">
        <v>167476</v>
      </c>
      <c r="M9" s="29">
        <v>35226</v>
      </c>
      <c r="O9" s="69">
        <v>0</v>
      </c>
    </row>
    <row r="10" spans="2:15" x14ac:dyDescent="0.3">
      <c r="B10" s="26" t="s">
        <v>3</v>
      </c>
      <c r="C10" s="27" t="s">
        <v>4</v>
      </c>
      <c r="D10" s="27" t="s">
        <v>14</v>
      </c>
      <c r="E10" s="28">
        <f t="shared" si="0"/>
        <v>365847</v>
      </c>
      <c r="F10" s="28">
        <v>115890</v>
      </c>
      <c r="G10" s="28">
        <v>118534</v>
      </c>
      <c r="H10" s="28">
        <v>114183</v>
      </c>
      <c r="I10" s="28">
        <v>17240</v>
      </c>
      <c r="J10" s="28">
        <v>0</v>
      </c>
      <c r="K10" s="28">
        <f>15645+167121+88638-1907+82123</f>
        <v>351620</v>
      </c>
      <c r="L10" s="28">
        <v>167121</v>
      </c>
      <c r="M10" s="29">
        <v>35307</v>
      </c>
      <c r="O10" s="69">
        <v>0</v>
      </c>
    </row>
    <row r="11" spans="2:15" x14ac:dyDescent="0.3">
      <c r="B11" s="26" t="s">
        <v>3</v>
      </c>
      <c r="C11" s="27" t="s">
        <v>4</v>
      </c>
      <c r="D11" s="27" t="s">
        <v>15</v>
      </c>
      <c r="E11" s="28">
        <f t="shared" si="0"/>
        <v>401255</v>
      </c>
      <c r="F11" s="28">
        <v>116904</v>
      </c>
      <c r="G11" s="28">
        <v>144450</v>
      </c>
      <c r="H11" s="28">
        <v>123398</v>
      </c>
      <c r="I11" s="28">
        <v>15515</v>
      </c>
      <c r="J11" s="28">
        <v>988</v>
      </c>
      <c r="K11" s="28">
        <f>12729+187191+114246+75879</f>
        <v>390045</v>
      </c>
      <c r="L11" s="28">
        <v>187191</v>
      </c>
      <c r="M11" s="29">
        <v>21477</v>
      </c>
      <c r="O11" s="69">
        <v>0</v>
      </c>
    </row>
    <row r="12" spans="2:15" x14ac:dyDescent="0.3">
      <c r="B12" s="26" t="s">
        <v>3</v>
      </c>
      <c r="C12" s="27" t="s">
        <v>4</v>
      </c>
      <c r="D12" s="27" t="s">
        <v>16</v>
      </c>
      <c r="E12" s="28">
        <f t="shared" si="0"/>
        <v>438422</v>
      </c>
      <c r="F12" s="28">
        <v>148593</v>
      </c>
      <c r="G12" s="28">
        <v>136159</v>
      </c>
      <c r="H12" s="28">
        <v>122487</v>
      </c>
      <c r="I12" s="28">
        <v>22565</v>
      </c>
      <c r="J12" s="28">
        <v>8618</v>
      </c>
      <c r="K12" s="28">
        <f>18804+120464+101690+192263</f>
        <v>433221</v>
      </c>
      <c r="L12" s="28">
        <v>192263</v>
      </c>
      <c r="M12" s="29">
        <v>24000</v>
      </c>
      <c r="O12" s="69">
        <v>0</v>
      </c>
    </row>
    <row r="13" spans="2:15" x14ac:dyDescent="0.3">
      <c r="B13" s="26" t="s">
        <v>3</v>
      </c>
      <c r="C13" s="27" t="s">
        <v>4</v>
      </c>
      <c r="D13" s="27" t="s">
        <v>17</v>
      </c>
      <c r="E13" s="28">
        <f t="shared" si="0"/>
        <v>479316</v>
      </c>
      <c r="F13" s="28">
        <v>146663</v>
      </c>
      <c r="G13" s="28">
        <v>155968</v>
      </c>
      <c r="H13" s="28">
        <v>144966</v>
      </c>
      <c r="I13" s="28">
        <v>27545</v>
      </c>
      <c r="J13" s="28">
        <v>4174</v>
      </c>
      <c r="K13" s="28">
        <f>18263+216099+98065+104519</f>
        <v>436946</v>
      </c>
      <c r="L13" s="28">
        <v>216099</v>
      </c>
      <c r="M13" s="29">
        <v>23931</v>
      </c>
      <c r="O13" s="69">
        <v>0</v>
      </c>
    </row>
    <row r="14" spans="2:15" x14ac:dyDescent="0.3">
      <c r="B14" s="26" t="s">
        <v>3</v>
      </c>
      <c r="C14" s="27" t="s">
        <v>4</v>
      </c>
      <c r="D14" s="27" t="s">
        <v>18</v>
      </c>
      <c r="E14" s="28">
        <f t="shared" si="0"/>
        <v>512435</v>
      </c>
      <c r="F14" s="28">
        <v>150190</v>
      </c>
      <c r="G14" s="28">
        <v>159192</v>
      </c>
      <c r="H14" s="28">
        <v>162632</v>
      </c>
      <c r="I14" s="28">
        <v>40049</v>
      </c>
      <c r="J14" s="28">
        <v>372</v>
      </c>
      <c r="K14" s="28">
        <f>22596+233946+123660+110002</f>
        <v>490204</v>
      </c>
      <c r="L14" s="28">
        <v>233946</v>
      </c>
      <c r="M14" s="29">
        <v>31523</v>
      </c>
      <c r="O14" s="69">
        <v>0</v>
      </c>
    </row>
    <row r="15" spans="2:15" x14ac:dyDescent="0.3">
      <c r="B15" s="26" t="s">
        <v>3</v>
      </c>
      <c r="C15" s="27" t="s">
        <v>4</v>
      </c>
      <c r="D15" s="27" t="s">
        <v>19</v>
      </c>
      <c r="E15" s="28">
        <f t="shared" si="0"/>
        <v>518715</v>
      </c>
      <c r="F15" s="28">
        <v>145786</v>
      </c>
      <c r="G15" s="28">
        <v>162836</v>
      </c>
      <c r="H15" s="28">
        <v>160505</v>
      </c>
      <c r="I15" s="28">
        <v>48829</v>
      </c>
      <c r="J15" s="28">
        <v>759</v>
      </c>
      <c r="K15" s="28">
        <f>18217+245997+124838+94550</f>
        <v>483602</v>
      </c>
      <c r="L15" s="28">
        <v>245997</v>
      </c>
      <c r="M15" s="29">
        <v>24166</v>
      </c>
      <c r="O15" s="69">
        <v>0</v>
      </c>
    </row>
    <row r="16" spans="2:15" x14ac:dyDescent="0.3">
      <c r="B16" s="26" t="s">
        <v>3</v>
      </c>
      <c r="C16" s="27" t="s">
        <v>4</v>
      </c>
      <c r="D16" s="27" t="s">
        <v>7</v>
      </c>
      <c r="E16" s="28">
        <f t="shared" si="0"/>
        <v>549321</v>
      </c>
      <c r="F16" s="28">
        <v>139894</v>
      </c>
      <c r="G16" s="28">
        <v>162690</v>
      </c>
      <c r="H16" s="28">
        <v>170647</v>
      </c>
      <c r="I16" s="28">
        <v>72203</v>
      </c>
      <c r="J16" s="28">
        <v>3887</v>
      </c>
      <c r="K16" s="28">
        <f>20149+269597+135304+106875</f>
        <v>531925</v>
      </c>
      <c r="L16" s="28">
        <v>269597</v>
      </c>
      <c r="M16" s="29">
        <v>36847</v>
      </c>
      <c r="O16" s="69">
        <v>0</v>
      </c>
    </row>
    <row r="17" spans="2:15" x14ac:dyDescent="0.3">
      <c r="B17" s="26" t="s">
        <v>3</v>
      </c>
      <c r="C17" s="27" t="s">
        <v>4</v>
      </c>
      <c r="D17" s="27" t="s">
        <v>8</v>
      </c>
      <c r="E17" s="28">
        <f t="shared" si="0"/>
        <v>576781</v>
      </c>
      <c r="F17" s="28">
        <v>151284</v>
      </c>
      <c r="G17" s="28">
        <v>163484</v>
      </c>
      <c r="H17" s="28">
        <v>208082</v>
      </c>
      <c r="I17" s="28">
        <v>51561</v>
      </c>
      <c r="J17" s="28">
        <v>2370</v>
      </c>
      <c r="K17" s="28">
        <f>24930+289251+128479+139684</f>
        <v>582344</v>
      </c>
      <c r="L17" s="28">
        <v>289251</v>
      </c>
      <c r="M17" s="29">
        <v>42018</v>
      </c>
      <c r="O17" s="69">
        <v>0</v>
      </c>
    </row>
    <row r="18" spans="2:15" x14ac:dyDescent="0.3">
      <c r="B18" s="26" t="s">
        <v>3</v>
      </c>
      <c r="C18" s="27" t="s">
        <v>4</v>
      </c>
      <c r="D18" s="27" t="s">
        <v>9</v>
      </c>
      <c r="E18" s="28">
        <f t="shared" si="0"/>
        <v>619939</v>
      </c>
      <c r="F18" s="28">
        <v>153730</v>
      </c>
      <c r="G18" s="28">
        <v>167577</v>
      </c>
      <c r="H18" s="28">
        <v>212364</v>
      </c>
      <c r="I18" s="28">
        <v>86039</v>
      </c>
      <c r="J18" s="28">
        <v>229</v>
      </c>
      <c r="K18" s="28">
        <f>22252+306877+127841+123574</f>
        <v>580544</v>
      </c>
      <c r="L18" s="28">
        <v>306877</v>
      </c>
      <c r="M18" s="29">
        <v>30280</v>
      </c>
      <c r="O18" s="69">
        <v>0</v>
      </c>
    </row>
    <row r="19" spans="2:15" x14ac:dyDescent="0.3">
      <c r="B19" s="26" t="s">
        <v>3</v>
      </c>
      <c r="C19" s="27" t="s">
        <v>4</v>
      </c>
      <c r="D19" s="27" t="s">
        <v>20</v>
      </c>
      <c r="E19" s="28">
        <f t="shared" si="0"/>
        <v>672894</v>
      </c>
      <c r="F19" s="28">
        <v>166569</v>
      </c>
      <c r="G19" s="28">
        <v>165299</v>
      </c>
      <c r="H19" s="28">
        <v>254138</v>
      </c>
      <c r="I19" s="28">
        <v>85858</v>
      </c>
      <c r="J19" s="28">
        <v>1030</v>
      </c>
      <c r="K19" s="28">
        <f>26347+406109+156082+110157</f>
        <v>698695</v>
      </c>
      <c r="L19" s="28">
        <v>406109</v>
      </c>
      <c r="M19" s="29">
        <v>21372</v>
      </c>
      <c r="O19" s="69">
        <v>0</v>
      </c>
    </row>
    <row r="20" spans="2:15" x14ac:dyDescent="0.3">
      <c r="B20" s="26" t="s">
        <v>3</v>
      </c>
      <c r="C20" s="27" t="s">
        <v>4</v>
      </c>
      <c r="D20" s="27" t="s">
        <v>21</v>
      </c>
      <c r="E20" s="28">
        <f t="shared" si="0"/>
        <v>749746</v>
      </c>
      <c r="F20" s="28">
        <v>174226</v>
      </c>
      <c r="G20" s="28">
        <v>178413</v>
      </c>
      <c r="H20" s="28">
        <v>295203</v>
      </c>
      <c r="I20" s="28">
        <v>100200</v>
      </c>
      <c r="J20" s="28">
        <v>1704</v>
      </c>
      <c r="K20" s="28">
        <f>27088+430751+200095+102415</f>
        <v>760349</v>
      </c>
      <c r="L20" s="28">
        <v>430751</v>
      </c>
      <c r="M20" s="29">
        <v>31174</v>
      </c>
      <c r="O20" s="69">
        <v>0</v>
      </c>
    </row>
    <row r="21" spans="2:15" x14ac:dyDescent="0.3">
      <c r="B21" s="26" t="s">
        <v>3</v>
      </c>
      <c r="C21" s="27" t="s">
        <v>4</v>
      </c>
      <c r="D21" s="27" t="s">
        <v>22</v>
      </c>
      <c r="E21" s="28">
        <f t="shared" si="0"/>
        <v>755601</v>
      </c>
      <c r="F21" s="28">
        <v>173372</v>
      </c>
      <c r="G21" s="28">
        <v>172991</v>
      </c>
      <c r="H21" s="28">
        <v>295172</v>
      </c>
      <c r="I21" s="28">
        <v>113593</v>
      </c>
      <c r="J21" s="28">
        <v>473</v>
      </c>
      <c r="K21" s="28">
        <f>24305+394221+214564+122061</f>
        <v>755151</v>
      </c>
      <c r="L21" s="28">
        <v>394221</v>
      </c>
      <c r="M21" s="29">
        <v>38394</v>
      </c>
      <c r="O21" s="69">
        <v>0</v>
      </c>
    </row>
    <row r="22" spans="2:15" x14ac:dyDescent="0.3">
      <c r="B22" s="26" t="s">
        <v>3</v>
      </c>
      <c r="C22" s="27" t="s">
        <v>4</v>
      </c>
      <c r="D22" s="27" t="s">
        <v>23</v>
      </c>
      <c r="E22" s="28">
        <f t="shared" si="0"/>
        <v>713701</v>
      </c>
      <c r="F22" s="28">
        <v>126297</v>
      </c>
      <c r="G22" s="28">
        <v>148570</v>
      </c>
      <c r="H22" s="28">
        <v>312105</v>
      </c>
      <c r="I22" s="28">
        <v>105574</v>
      </c>
      <c r="J22" s="28">
        <v>21155</v>
      </c>
      <c r="K22" s="28">
        <f>21543+411043+232200+176503</f>
        <v>841289</v>
      </c>
      <c r="L22" s="28">
        <v>411043</v>
      </c>
      <c r="M22" s="29">
        <v>313</v>
      </c>
      <c r="O22" s="69">
        <v>0</v>
      </c>
    </row>
    <row r="23" spans="2:15" x14ac:dyDescent="0.3">
      <c r="B23" s="26" t="s">
        <v>3</v>
      </c>
      <c r="C23" s="27" t="s">
        <v>4</v>
      </c>
      <c r="D23" s="27" t="s">
        <v>24</v>
      </c>
      <c r="E23" s="28">
        <f t="shared" si="0"/>
        <v>649689</v>
      </c>
      <c r="F23" s="28">
        <v>10257</v>
      </c>
      <c r="G23" s="28">
        <v>207709</v>
      </c>
      <c r="H23" s="28">
        <v>314226</v>
      </c>
      <c r="I23" s="28">
        <v>116163</v>
      </c>
      <c r="J23" s="28">
        <v>1334</v>
      </c>
      <c r="K23" s="28">
        <f>19024+402957+173797+174466</f>
        <v>770244</v>
      </c>
      <c r="L23" s="28">
        <v>402957</v>
      </c>
      <c r="M23" s="29">
        <v>874</v>
      </c>
      <c r="O23" s="69">
        <v>0</v>
      </c>
    </row>
    <row r="24" spans="2:15" x14ac:dyDescent="0.3">
      <c r="B24" s="26" t="s">
        <v>3</v>
      </c>
      <c r="C24" s="27" t="s">
        <v>4</v>
      </c>
      <c r="D24" s="27" t="s">
        <v>25</v>
      </c>
      <c r="E24" s="28">
        <f t="shared" si="0"/>
        <v>719778</v>
      </c>
      <c r="F24" s="28">
        <v>104303</v>
      </c>
      <c r="G24" s="28">
        <v>178940</v>
      </c>
      <c r="H24" s="28">
        <v>290140</v>
      </c>
      <c r="I24" s="28">
        <v>139492</v>
      </c>
      <c r="J24" s="28">
        <v>6903</v>
      </c>
      <c r="K24" s="28">
        <f>27778+519030+289623+179702</f>
        <v>1016133</v>
      </c>
      <c r="L24" s="28">
        <v>519030</v>
      </c>
      <c r="M24" s="29">
        <v>12936</v>
      </c>
      <c r="O24" s="69">
        <v>0</v>
      </c>
    </row>
    <row r="25" spans="2:15" x14ac:dyDescent="0.3">
      <c r="B25" s="26" t="s">
        <v>3</v>
      </c>
      <c r="C25" s="27" t="s">
        <v>4</v>
      </c>
      <c r="D25" s="27" t="s">
        <v>26</v>
      </c>
      <c r="E25" s="28">
        <f t="shared" si="0"/>
        <v>831213</v>
      </c>
      <c r="F25" s="28">
        <v>151843</v>
      </c>
      <c r="G25" s="28">
        <v>186813</v>
      </c>
      <c r="H25" s="28">
        <v>329812</v>
      </c>
      <c r="I25" s="28">
        <v>136030</v>
      </c>
      <c r="J25" s="28">
        <v>26715</v>
      </c>
      <c r="K25" s="28">
        <f>44000+452701+262209+154569</f>
        <v>913479</v>
      </c>
      <c r="L25" s="28">
        <v>452701</v>
      </c>
      <c r="M25" s="29">
        <v>11826</v>
      </c>
      <c r="O25" s="69">
        <v>0</v>
      </c>
    </row>
    <row r="26" spans="2:15" x14ac:dyDescent="0.3">
      <c r="B26" s="26" t="s">
        <v>3</v>
      </c>
      <c r="C26" s="27" t="s">
        <v>4</v>
      </c>
      <c r="D26" s="27" t="s">
        <v>27</v>
      </c>
      <c r="E26" s="28">
        <f t="shared" si="0"/>
        <v>1055692</v>
      </c>
      <c r="F26" s="28">
        <v>306970</v>
      </c>
      <c r="G26" s="28">
        <v>179257</v>
      </c>
      <c r="H26" s="28">
        <v>406629</v>
      </c>
      <c r="I26" s="28">
        <v>150784</v>
      </c>
      <c r="J26" s="28">
        <v>12052</v>
      </c>
      <c r="K26" s="28">
        <f>65718+504974+358954+134419</f>
        <v>1064065</v>
      </c>
      <c r="L26" s="28">
        <v>504974</v>
      </c>
      <c r="M26" s="29">
        <v>15627</v>
      </c>
      <c r="O26" s="69">
        <v>0</v>
      </c>
    </row>
    <row r="27" spans="2:15" ht="15" thickBot="1" x14ac:dyDescent="0.35">
      <c r="B27" s="30" t="s">
        <v>3</v>
      </c>
      <c r="C27" s="31" t="s">
        <v>4</v>
      </c>
      <c r="D27" s="31" t="s">
        <v>28</v>
      </c>
      <c r="E27" s="32">
        <f t="shared" si="0"/>
        <v>1161022</v>
      </c>
      <c r="F27" s="32">
        <v>326092</v>
      </c>
      <c r="G27" s="32">
        <v>162086</v>
      </c>
      <c r="H27" s="32">
        <v>481164</v>
      </c>
      <c r="I27" s="32">
        <v>189566</v>
      </c>
      <c r="J27" s="32">
        <v>2114</v>
      </c>
      <c r="K27" s="32">
        <f>87697+514230+374466+167798</f>
        <v>1144191</v>
      </c>
      <c r="L27" s="32">
        <v>514230</v>
      </c>
      <c r="M27" s="33">
        <v>24322</v>
      </c>
      <c r="O27" s="70">
        <v>0</v>
      </c>
    </row>
    <row r="28" spans="2:15" x14ac:dyDescent="0.3">
      <c r="B28" s="4" t="s">
        <v>3</v>
      </c>
      <c r="C28" s="10" t="s">
        <v>5</v>
      </c>
      <c r="D28" s="10" t="s">
        <v>10</v>
      </c>
      <c r="E28" s="8">
        <f>155933+J28</f>
        <v>169231</v>
      </c>
      <c r="F28" s="11">
        <v>0</v>
      </c>
      <c r="G28" s="11">
        <v>0</v>
      </c>
      <c r="H28" s="11">
        <v>0</v>
      </c>
      <c r="I28" s="11">
        <v>0</v>
      </c>
      <c r="J28" s="11">
        <f>13298</f>
        <v>13298</v>
      </c>
      <c r="K28" s="11">
        <f>2241+474+88070+28482+653+4102-537+38991</f>
        <v>162476</v>
      </c>
      <c r="L28" s="11">
        <v>88070</v>
      </c>
      <c r="M28" s="12">
        <v>1494</v>
      </c>
      <c r="O28" s="71">
        <v>0</v>
      </c>
    </row>
    <row r="29" spans="2:15" x14ac:dyDescent="0.3">
      <c r="B29" s="4" t="s">
        <v>3</v>
      </c>
      <c r="C29" s="10" t="s">
        <v>5</v>
      </c>
      <c r="D29" s="10" t="s">
        <v>11</v>
      </c>
      <c r="E29" s="11">
        <f>194421+J29</f>
        <v>207872</v>
      </c>
      <c r="F29" s="11">
        <v>0</v>
      </c>
      <c r="G29" s="11">
        <v>0</v>
      </c>
      <c r="H29" s="11">
        <v>0</v>
      </c>
      <c r="I29" s="11">
        <v>0</v>
      </c>
      <c r="J29" s="11">
        <v>13451</v>
      </c>
      <c r="K29" s="11">
        <f>1623+1191+102335+35746+1075+4173-174+43524</f>
        <v>189493</v>
      </c>
      <c r="L29" s="11">
        <v>102335</v>
      </c>
      <c r="M29" s="12">
        <v>36715</v>
      </c>
      <c r="O29" s="72">
        <v>0</v>
      </c>
    </row>
    <row r="30" spans="2:15" x14ac:dyDescent="0.3">
      <c r="B30" s="4" t="s">
        <v>3</v>
      </c>
      <c r="C30" s="10" t="s">
        <v>5</v>
      </c>
      <c r="D30" s="10" t="s">
        <v>12</v>
      </c>
      <c r="E30" s="11">
        <f>235871+J30</f>
        <v>259090</v>
      </c>
      <c r="F30" s="11">
        <v>0</v>
      </c>
      <c r="G30" s="11">
        <v>0</v>
      </c>
      <c r="H30" s="11">
        <v>0</v>
      </c>
      <c r="I30" s="11">
        <v>0</v>
      </c>
      <c r="J30" s="11">
        <f>23219</f>
        <v>23219</v>
      </c>
      <c r="K30" s="11">
        <f>2714+1517+151984+28128+1101+4591+52940-670</f>
        <v>242305</v>
      </c>
      <c r="L30" s="11">
        <v>151984</v>
      </c>
      <c r="M30" s="12">
        <v>32981</v>
      </c>
      <c r="O30" s="72">
        <v>0</v>
      </c>
    </row>
    <row r="31" spans="2:15" x14ac:dyDescent="0.3">
      <c r="B31" s="4" t="s">
        <v>3</v>
      </c>
      <c r="C31" s="10" t="s">
        <v>5</v>
      </c>
      <c r="D31" s="10" t="s">
        <v>13</v>
      </c>
      <c r="E31" s="11">
        <f>273191+J31</f>
        <v>290103</v>
      </c>
      <c r="F31" s="11">
        <v>0</v>
      </c>
      <c r="G31" s="11">
        <v>0</v>
      </c>
      <c r="H31" s="11">
        <v>0</v>
      </c>
      <c r="I31" s="11">
        <v>0</v>
      </c>
      <c r="J31" s="11">
        <v>16912</v>
      </c>
      <c r="K31" s="11">
        <f>2601+1841+154389+40361+1132+6965+765+62584</f>
        <v>270638</v>
      </c>
      <c r="L31" s="11">
        <v>154389</v>
      </c>
      <c r="M31" s="12">
        <v>6821</v>
      </c>
      <c r="O31" s="72">
        <v>0</v>
      </c>
    </row>
    <row r="32" spans="2:15" x14ac:dyDescent="0.3">
      <c r="B32" s="4" t="s">
        <v>3</v>
      </c>
      <c r="C32" s="10" t="s">
        <v>5</v>
      </c>
      <c r="D32" s="10" t="s">
        <v>14</v>
      </c>
      <c r="E32" s="11">
        <f>288289+J32</f>
        <v>308785</v>
      </c>
      <c r="F32" s="11">
        <v>0</v>
      </c>
      <c r="G32" s="11">
        <v>0</v>
      </c>
      <c r="H32" s="11">
        <v>0</v>
      </c>
      <c r="I32" s="11">
        <v>0</v>
      </c>
      <c r="J32" s="11">
        <v>20496</v>
      </c>
      <c r="K32" s="11">
        <f>168356+2139+2039+45441+319+6967+66954+415</f>
        <v>292630</v>
      </c>
      <c r="L32" s="11">
        <v>168356</v>
      </c>
      <c r="M32" s="12">
        <v>10069</v>
      </c>
      <c r="O32" s="72">
        <v>0</v>
      </c>
    </row>
    <row r="33" spans="2:15" x14ac:dyDescent="0.3">
      <c r="B33" s="4" t="s">
        <v>3</v>
      </c>
      <c r="C33" s="10" t="s">
        <v>5</v>
      </c>
      <c r="D33" s="10" t="s">
        <v>15</v>
      </c>
      <c r="E33" s="11">
        <f>343033+J33</f>
        <v>365911</v>
      </c>
      <c r="F33" s="11">
        <v>0</v>
      </c>
      <c r="G33" s="11">
        <v>0</v>
      </c>
      <c r="H33" s="11">
        <v>0</v>
      </c>
      <c r="I33" s="11">
        <v>0</v>
      </c>
      <c r="J33" s="11">
        <v>22878</v>
      </c>
      <c r="K33" s="11">
        <f>5601+201312+92263+62526</f>
        <v>361702</v>
      </c>
      <c r="L33" s="11">
        <v>201312</v>
      </c>
      <c r="M33" s="12">
        <v>6652</v>
      </c>
      <c r="O33" s="72">
        <v>0</v>
      </c>
    </row>
    <row r="34" spans="2:15" x14ac:dyDescent="0.3">
      <c r="B34" s="4" t="s">
        <v>3</v>
      </c>
      <c r="C34" s="10" t="s">
        <v>5</v>
      </c>
      <c r="D34" s="10" t="s">
        <v>16</v>
      </c>
      <c r="E34" s="11">
        <f>371526+J34</f>
        <v>398054</v>
      </c>
      <c r="F34" s="11">
        <v>0</v>
      </c>
      <c r="G34" s="11">
        <v>0</v>
      </c>
      <c r="H34" s="11">
        <v>0</v>
      </c>
      <c r="I34" s="11">
        <v>0</v>
      </c>
      <c r="J34" s="11">
        <v>26528</v>
      </c>
      <c r="K34" s="11">
        <f>5301+234811+139967+79162</f>
        <v>459241</v>
      </c>
      <c r="L34" s="11">
        <v>234811</v>
      </c>
      <c r="M34" s="40">
        <v>-79643</v>
      </c>
      <c r="O34" s="72">
        <v>0</v>
      </c>
    </row>
    <row r="35" spans="2:15" x14ac:dyDescent="0.3">
      <c r="B35" s="4" t="s">
        <v>3</v>
      </c>
      <c r="C35" s="10" t="s">
        <v>5</v>
      </c>
      <c r="D35" s="10" t="s">
        <v>17</v>
      </c>
      <c r="E35" s="11">
        <f t="shared" ref="E35:E46" si="1">SUM(F35:J35)</f>
        <v>450654</v>
      </c>
      <c r="F35" s="11">
        <f>59283+51422</f>
        <v>110705</v>
      </c>
      <c r="G35" s="11">
        <v>163045</v>
      </c>
      <c r="H35" s="11">
        <v>143376</v>
      </c>
      <c r="I35" s="11">
        <v>0</v>
      </c>
      <c r="J35" s="11">
        <v>33528</v>
      </c>
      <c r="K35" s="11">
        <f>5323+240646+113855+65594</f>
        <v>425418</v>
      </c>
      <c r="L35" s="11">
        <v>240646</v>
      </c>
      <c r="M35" s="40">
        <v>-9322</v>
      </c>
      <c r="O35" s="72">
        <v>0</v>
      </c>
    </row>
    <row r="36" spans="2:15" x14ac:dyDescent="0.3">
      <c r="B36" s="4" t="s">
        <v>3</v>
      </c>
      <c r="C36" s="10" t="s">
        <v>5</v>
      </c>
      <c r="D36" s="10" t="s">
        <v>18</v>
      </c>
      <c r="E36" s="11">
        <f t="shared" si="1"/>
        <v>482999</v>
      </c>
      <c r="F36" s="11">
        <f>66249+50097</f>
        <v>116346</v>
      </c>
      <c r="G36" s="11">
        <v>160472</v>
      </c>
      <c r="H36" s="11">
        <v>162361</v>
      </c>
      <c r="I36" s="11">
        <v>0</v>
      </c>
      <c r="J36" s="11">
        <v>43820</v>
      </c>
      <c r="K36" s="11">
        <f>5573+233312+112312+72031</f>
        <v>423228</v>
      </c>
      <c r="L36" s="11">
        <v>233312</v>
      </c>
      <c r="M36" s="12">
        <v>48781</v>
      </c>
      <c r="O36" s="72">
        <v>0</v>
      </c>
    </row>
    <row r="37" spans="2:15" x14ac:dyDescent="0.3">
      <c r="B37" s="4" t="s">
        <v>3</v>
      </c>
      <c r="C37" s="10" t="s">
        <v>5</v>
      </c>
      <c r="D37" s="10" t="s">
        <v>19</v>
      </c>
      <c r="E37" s="11">
        <f t="shared" si="1"/>
        <v>482588</v>
      </c>
      <c r="F37" s="11">
        <f>67411+50176</f>
        <v>117587</v>
      </c>
      <c r="G37" s="11">
        <v>161669</v>
      </c>
      <c r="H37" s="11">
        <v>166474</v>
      </c>
      <c r="I37" s="11">
        <v>0</v>
      </c>
      <c r="J37" s="11">
        <v>36858</v>
      </c>
      <c r="K37" s="11">
        <f>5619+237817+111113+70496</f>
        <v>425045</v>
      </c>
      <c r="L37" s="11">
        <v>237817</v>
      </c>
      <c r="M37" s="12">
        <v>32488</v>
      </c>
      <c r="O37" s="72">
        <v>0</v>
      </c>
    </row>
    <row r="38" spans="2:15" x14ac:dyDescent="0.3">
      <c r="B38" s="4" t="s">
        <v>3</v>
      </c>
      <c r="C38" s="10" t="s">
        <v>5</v>
      </c>
      <c r="D38" s="10" t="s">
        <v>7</v>
      </c>
      <c r="E38" s="11">
        <f t="shared" si="1"/>
        <v>484639</v>
      </c>
      <c r="F38" s="11">
        <f>65627+51244</f>
        <v>116871</v>
      </c>
      <c r="G38" s="11">
        <v>160876</v>
      </c>
      <c r="H38" s="11">
        <v>160162</v>
      </c>
      <c r="I38" s="11">
        <v>0</v>
      </c>
      <c r="J38" s="11">
        <v>46730</v>
      </c>
      <c r="K38" s="11">
        <f>6215+247752+120950+76328</f>
        <v>451245</v>
      </c>
      <c r="L38" s="11">
        <v>247752</v>
      </c>
      <c r="M38" s="12">
        <v>41118</v>
      </c>
      <c r="O38" s="72">
        <v>0</v>
      </c>
    </row>
    <row r="39" spans="2:15" x14ac:dyDescent="0.3">
      <c r="B39" s="4" t="s">
        <v>3</v>
      </c>
      <c r="C39" s="10" t="s">
        <v>5</v>
      </c>
      <c r="D39" s="10" t="s">
        <v>8</v>
      </c>
      <c r="E39" s="11">
        <f t="shared" si="1"/>
        <v>560697</v>
      </c>
      <c r="F39" s="11">
        <f>71891+48645</f>
        <v>120536</v>
      </c>
      <c r="G39" s="11">
        <v>162312</v>
      </c>
      <c r="H39" s="11">
        <v>221713</v>
      </c>
      <c r="I39" s="11">
        <v>0</v>
      </c>
      <c r="J39" s="11">
        <v>56136</v>
      </c>
      <c r="K39" s="11">
        <f>6212+349539+145169+67510</f>
        <v>568430</v>
      </c>
      <c r="L39" s="11">
        <v>349539</v>
      </c>
      <c r="M39" s="12">
        <v>15150</v>
      </c>
      <c r="O39" s="72">
        <v>0</v>
      </c>
    </row>
    <row r="40" spans="2:15" x14ac:dyDescent="0.3">
      <c r="B40" s="4" t="s">
        <v>3</v>
      </c>
      <c r="C40" s="10" t="s">
        <v>5</v>
      </c>
      <c r="D40" s="10" t="s">
        <v>9</v>
      </c>
      <c r="E40" s="11">
        <f t="shared" si="1"/>
        <v>620115</v>
      </c>
      <c r="F40" s="11">
        <f>83040+45543</f>
        <v>128583</v>
      </c>
      <c r="G40" s="11">
        <v>168142</v>
      </c>
      <c r="H40" s="11">
        <v>260055</v>
      </c>
      <c r="I40" s="11">
        <v>0</v>
      </c>
      <c r="J40" s="11">
        <v>63335</v>
      </c>
      <c r="K40" s="11">
        <f>6866+371735+149360+71796</f>
        <v>599757</v>
      </c>
      <c r="L40" s="11">
        <v>371735</v>
      </c>
      <c r="M40" s="12">
        <v>28769</v>
      </c>
      <c r="O40" s="72">
        <v>0</v>
      </c>
    </row>
    <row r="41" spans="2:15" x14ac:dyDescent="0.3">
      <c r="B41" s="4" t="s">
        <v>3</v>
      </c>
      <c r="C41" s="10" t="s">
        <v>5</v>
      </c>
      <c r="D41" s="10" t="s">
        <v>20</v>
      </c>
      <c r="E41" s="11">
        <f t="shared" si="1"/>
        <v>706927</v>
      </c>
      <c r="F41" s="11">
        <f>92954+50883</f>
        <v>143837</v>
      </c>
      <c r="G41" s="11">
        <v>177959</v>
      </c>
      <c r="H41" s="11">
        <v>316393</v>
      </c>
      <c r="I41" s="11">
        <v>0</v>
      </c>
      <c r="J41" s="11">
        <v>68738</v>
      </c>
      <c r="K41" s="11">
        <f>6966+377934+163423+80224</f>
        <v>628547</v>
      </c>
      <c r="L41" s="11">
        <v>377934</v>
      </c>
      <c r="M41" s="12">
        <v>18134</v>
      </c>
      <c r="O41" s="72">
        <v>0</v>
      </c>
    </row>
    <row r="42" spans="2:15" x14ac:dyDescent="0.3">
      <c r="B42" s="4" t="s">
        <v>3</v>
      </c>
      <c r="C42" s="10" t="s">
        <v>5</v>
      </c>
      <c r="D42" s="10" t="s">
        <v>21</v>
      </c>
      <c r="E42" s="11">
        <f t="shared" si="1"/>
        <v>690299</v>
      </c>
      <c r="F42" s="11">
        <f>104001+60008</f>
        <v>164009</v>
      </c>
      <c r="G42" s="11">
        <v>187383</v>
      </c>
      <c r="H42" s="11">
        <v>335079</v>
      </c>
      <c r="I42" s="11">
        <v>0</v>
      </c>
      <c r="J42" s="11">
        <v>3828</v>
      </c>
      <c r="K42" s="11">
        <f>7871+529121+190289+132441</f>
        <v>859722</v>
      </c>
      <c r="L42" s="11">
        <v>529121</v>
      </c>
      <c r="M42" s="12">
        <v>12930</v>
      </c>
      <c r="O42" s="72">
        <v>0</v>
      </c>
    </row>
    <row r="43" spans="2:15" x14ac:dyDescent="0.3">
      <c r="B43" s="4" t="s">
        <v>3</v>
      </c>
      <c r="C43" s="10" t="s">
        <v>5</v>
      </c>
      <c r="D43" s="10" t="s">
        <v>22</v>
      </c>
      <c r="E43" s="11">
        <f t="shared" si="1"/>
        <v>852171</v>
      </c>
      <c r="F43" s="11">
        <f>113980+60884</f>
        <v>174864</v>
      </c>
      <c r="G43" s="11">
        <v>298122</v>
      </c>
      <c r="H43" s="11">
        <v>363331</v>
      </c>
      <c r="I43" s="11">
        <v>0</v>
      </c>
      <c r="J43" s="11">
        <f>413+15441</f>
        <v>15854</v>
      </c>
      <c r="K43" s="11">
        <f>33963+541920+206945+159869</f>
        <v>942697</v>
      </c>
      <c r="L43" s="11">
        <v>541920</v>
      </c>
      <c r="M43" s="12">
        <v>4527</v>
      </c>
      <c r="O43" s="72">
        <v>0</v>
      </c>
    </row>
    <row r="44" spans="2:15" x14ac:dyDescent="0.3">
      <c r="B44" s="4" t="s">
        <v>3</v>
      </c>
      <c r="C44" s="10" t="s">
        <v>5</v>
      </c>
      <c r="D44" s="10" t="s">
        <v>23</v>
      </c>
      <c r="E44" s="11">
        <f t="shared" si="1"/>
        <v>728513</v>
      </c>
      <c r="F44" s="11">
        <f>80891+55200</f>
        <v>136091</v>
      </c>
      <c r="G44" s="11">
        <v>248489</v>
      </c>
      <c r="H44" s="11">
        <v>323237</v>
      </c>
      <c r="I44" s="11">
        <v>0</v>
      </c>
      <c r="J44" s="11">
        <f>440+20256</f>
        <v>20696</v>
      </c>
      <c r="K44" s="11">
        <f>31288+487120+192790+192032</f>
        <v>903230</v>
      </c>
      <c r="L44" s="11">
        <v>487120</v>
      </c>
      <c r="M44" s="40">
        <f>-101239</f>
        <v>-101239</v>
      </c>
      <c r="O44" s="72">
        <v>0</v>
      </c>
    </row>
    <row r="45" spans="2:15" x14ac:dyDescent="0.3">
      <c r="B45" s="4" t="s">
        <v>3</v>
      </c>
      <c r="C45" s="10" t="s">
        <v>5</v>
      </c>
      <c r="D45" s="10" t="s">
        <v>24</v>
      </c>
      <c r="E45" s="11">
        <f t="shared" si="1"/>
        <v>590177</v>
      </c>
      <c r="F45" s="11">
        <f>8131+15532</f>
        <v>23663</v>
      </c>
      <c r="G45" s="11">
        <v>281431</v>
      </c>
      <c r="H45" s="11">
        <v>270299</v>
      </c>
      <c r="I45" s="11">
        <v>0</v>
      </c>
      <c r="J45" s="11">
        <f>54+14730</f>
        <v>14784</v>
      </c>
      <c r="K45" s="11">
        <f>19666+489590+172135+174844</f>
        <v>856235</v>
      </c>
      <c r="L45" s="11">
        <v>489590</v>
      </c>
      <c r="M45" s="40">
        <v>-481318</v>
      </c>
      <c r="O45" s="72">
        <v>0</v>
      </c>
    </row>
    <row r="46" spans="2:15" x14ac:dyDescent="0.3">
      <c r="B46" s="4" t="s">
        <v>3</v>
      </c>
      <c r="C46" s="10" t="s">
        <v>5</v>
      </c>
      <c r="D46" s="10" t="s">
        <v>25</v>
      </c>
      <c r="E46" s="11">
        <f t="shared" si="1"/>
        <v>638838</v>
      </c>
      <c r="F46" s="11">
        <f>48963+61450</f>
        <v>110413</v>
      </c>
      <c r="G46" s="11">
        <v>250193</v>
      </c>
      <c r="H46" s="11">
        <v>267175</v>
      </c>
      <c r="I46" s="11">
        <v>0</v>
      </c>
      <c r="J46" s="11">
        <f>205+10852</f>
        <v>11057</v>
      </c>
      <c r="K46" s="11">
        <f>29168+457246+164212+139136</f>
        <v>789762</v>
      </c>
      <c r="L46" s="11">
        <v>457246</v>
      </c>
      <c r="M46" s="12">
        <v>97577</v>
      </c>
      <c r="O46" s="72">
        <v>0</v>
      </c>
    </row>
    <row r="47" spans="2:15" x14ac:dyDescent="0.3">
      <c r="B47" s="4" t="s">
        <v>3</v>
      </c>
      <c r="C47" s="10" t="s">
        <v>5</v>
      </c>
      <c r="D47" s="10" t="s">
        <v>26</v>
      </c>
      <c r="E47" s="11">
        <f>SUM(F47:J47)</f>
        <v>805656</v>
      </c>
      <c r="F47" s="11">
        <f>65541+123974</f>
        <v>189515</v>
      </c>
      <c r="G47" s="11">
        <v>215882</v>
      </c>
      <c r="H47" s="11">
        <v>390135</v>
      </c>
      <c r="I47" s="11">
        <v>0</v>
      </c>
      <c r="J47" s="11">
        <f>395+9729</f>
        <v>10124</v>
      </c>
      <c r="K47" s="11">
        <f>58672+625723+281293+124095</f>
        <v>1089783</v>
      </c>
      <c r="L47" s="11">
        <v>625723</v>
      </c>
      <c r="M47" s="12">
        <v>303711</v>
      </c>
      <c r="O47" s="72">
        <v>0</v>
      </c>
    </row>
    <row r="48" spans="2:15" x14ac:dyDescent="0.3">
      <c r="B48" s="4" t="s">
        <v>3</v>
      </c>
      <c r="C48" s="10" t="s">
        <v>5</v>
      </c>
      <c r="D48" s="10" t="s">
        <v>27</v>
      </c>
      <c r="E48" s="11">
        <f t="shared" ref="E48:E61" si="2">SUM(F48:J48)</f>
        <v>760957</v>
      </c>
      <c r="F48" s="11">
        <f>86067+29862</f>
        <v>115929</v>
      </c>
      <c r="G48" s="11">
        <v>242246</v>
      </c>
      <c r="H48" s="11">
        <v>373724</v>
      </c>
      <c r="I48" s="11">
        <v>0</v>
      </c>
      <c r="J48" s="11">
        <f>11414+17644</f>
        <v>29058</v>
      </c>
      <c r="K48" s="11">
        <f>58680+471806+317984+113136</f>
        <v>961606</v>
      </c>
      <c r="L48" s="11">
        <v>471806</v>
      </c>
      <c r="M48" s="40">
        <v>-90542</v>
      </c>
      <c r="O48" s="72">
        <v>0</v>
      </c>
    </row>
    <row r="49" spans="2:15" ht="15" thickBot="1" x14ac:dyDescent="0.35">
      <c r="B49" s="5" t="s">
        <v>3</v>
      </c>
      <c r="C49" s="13" t="s">
        <v>5</v>
      </c>
      <c r="D49" s="13" t="s">
        <v>28</v>
      </c>
      <c r="E49" s="15">
        <f t="shared" si="2"/>
        <v>985911</v>
      </c>
      <c r="F49" s="14">
        <f>118598+31599</f>
        <v>150197</v>
      </c>
      <c r="G49" s="14">
        <v>250499</v>
      </c>
      <c r="H49" s="14">
        <v>556844</v>
      </c>
      <c r="I49" s="11">
        <v>0</v>
      </c>
      <c r="J49" s="14">
        <f>6663+21708</f>
        <v>28371</v>
      </c>
      <c r="K49" s="14">
        <f>79702+509955+230134+106317</f>
        <v>926108</v>
      </c>
      <c r="L49" s="14">
        <v>509955</v>
      </c>
      <c r="M49" s="41">
        <v>-16949</v>
      </c>
      <c r="O49" s="75">
        <v>0</v>
      </c>
    </row>
    <row r="50" spans="2:15" x14ac:dyDescent="0.3">
      <c r="B50" s="21" t="s">
        <v>3</v>
      </c>
      <c r="C50" s="22" t="s">
        <v>6</v>
      </c>
      <c r="D50" s="22" t="s">
        <v>7</v>
      </c>
      <c r="E50" s="23">
        <f t="shared" si="2"/>
        <v>169866</v>
      </c>
      <c r="F50" s="23">
        <f>68156+18543</f>
        <v>86699</v>
      </c>
      <c r="G50" s="23">
        <v>45933</v>
      </c>
      <c r="H50" s="23">
        <v>30202</v>
      </c>
      <c r="I50" s="23">
        <v>0</v>
      </c>
      <c r="J50" s="23">
        <v>7032</v>
      </c>
      <c r="K50" s="23">
        <f>7123+112945+33759+18021</f>
        <v>171848</v>
      </c>
      <c r="L50" s="23">
        <v>112945</v>
      </c>
      <c r="M50" s="25">
        <v>1596</v>
      </c>
      <c r="O50" s="68">
        <v>0</v>
      </c>
    </row>
    <row r="51" spans="2:15" x14ac:dyDescent="0.3">
      <c r="B51" s="26" t="s">
        <v>3</v>
      </c>
      <c r="C51" s="27" t="s">
        <v>6</v>
      </c>
      <c r="D51" s="27" t="s">
        <v>8</v>
      </c>
      <c r="E51" s="28">
        <f t="shared" si="2"/>
        <v>175113</v>
      </c>
      <c r="F51" s="28">
        <f>62398+21957</f>
        <v>84355</v>
      </c>
      <c r="G51" s="28">
        <v>41658</v>
      </c>
      <c r="H51" s="28">
        <v>34878</v>
      </c>
      <c r="I51" s="28">
        <v>0</v>
      </c>
      <c r="J51" s="28">
        <v>14222</v>
      </c>
      <c r="K51" s="28">
        <f>8321+105036+35572+36232</f>
        <v>185161</v>
      </c>
      <c r="L51" s="28">
        <v>105036</v>
      </c>
      <c r="M51" s="29">
        <v>13121</v>
      </c>
      <c r="O51" s="69">
        <v>0</v>
      </c>
    </row>
    <row r="52" spans="2:15" x14ac:dyDescent="0.3">
      <c r="B52" s="26" t="s">
        <v>3</v>
      </c>
      <c r="C52" s="27" t="s">
        <v>6</v>
      </c>
      <c r="D52" s="27" t="s">
        <v>9</v>
      </c>
      <c r="E52" s="28">
        <f t="shared" si="2"/>
        <v>233332</v>
      </c>
      <c r="F52" s="28">
        <f>87581+22902</f>
        <v>110483</v>
      </c>
      <c r="G52" s="28">
        <v>68737</v>
      </c>
      <c r="H52" s="28">
        <v>39642</v>
      </c>
      <c r="I52" s="28">
        <v>0</v>
      </c>
      <c r="J52" s="28">
        <v>14470</v>
      </c>
      <c r="K52" s="28">
        <f>10466+137262+31699+46358</f>
        <v>225785</v>
      </c>
      <c r="L52" s="28">
        <v>137262</v>
      </c>
      <c r="M52" s="29">
        <v>3944</v>
      </c>
      <c r="O52" s="69">
        <v>0</v>
      </c>
    </row>
    <row r="53" spans="2:15" x14ac:dyDescent="0.3">
      <c r="B53" s="26" t="s">
        <v>3</v>
      </c>
      <c r="C53" s="27" t="s">
        <v>6</v>
      </c>
      <c r="D53" s="27" t="s">
        <v>20</v>
      </c>
      <c r="E53" s="28">
        <f t="shared" si="2"/>
        <v>281398</v>
      </c>
      <c r="F53" s="28">
        <f>80190+25739</f>
        <v>105929</v>
      </c>
      <c r="G53" s="28">
        <v>99417</v>
      </c>
      <c r="H53" s="28">
        <v>53095</v>
      </c>
      <c r="I53" s="28">
        <v>0</v>
      </c>
      <c r="J53" s="28">
        <v>22957</v>
      </c>
      <c r="K53" s="28">
        <f>32892+177775+39545+60805</f>
        <v>311017</v>
      </c>
      <c r="L53" s="28">
        <v>177775</v>
      </c>
      <c r="M53" s="29">
        <v>4997</v>
      </c>
      <c r="O53" s="69">
        <v>0</v>
      </c>
    </row>
    <row r="54" spans="2:15" x14ac:dyDescent="0.3">
      <c r="B54" s="26" t="s">
        <v>3</v>
      </c>
      <c r="C54" s="27" t="s">
        <v>6</v>
      </c>
      <c r="D54" s="27" t="s">
        <v>21</v>
      </c>
      <c r="E54" s="28">
        <f t="shared" si="2"/>
        <v>353773</v>
      </c>
      <c r="F54" s="28">
        <f>68568+41312</f>
        <v>109880</v>
      </c>
      <c r="G54" s="28">
        <v>110159</v>
      </c>
      <c r="H54" s="28">
        <v>72123</v>
      </c>
      <c r="I54" s="28">
        <v>0</v>
      </c>
      <c r="J54" s="28">
        <f>35924+5160+20527</f>
        <v>61611</v>
      </c>
      <c r="K54" s="28">
        <f>43248+211844+54027+58250</f>
        <v>367369</v>
      </c>
      <c r="L54" s="28">
        <v>211844</v>
      </c>
      <c r="M54" s="29">
        <v>4483</v>
      </c>
      <c r="O54" s="69">
        <v>0</v>
      </c>
    </row>
    <row r="55" spans="2:15" x14ac:dyDescent="0.3">
      <c r="B55" s="26" t="s">
        <v>3</v>
      </c>
      <c r="C55" s="27" t="s">
        <v>6</v>
      </c>
      <c r="D55" s="27" t="s">
        <v>22</v>
      </c>
      <c r="E55" s="28">
        <f t="shared" si="2"/>
        <v>389558</v>
      </c>
      <c r="F55" s="28">
        <f>106990+45108</f>
        <v>152098</v>
      </c>
      <c r="G55" s="28">
        <v>119385</v>
      </c>
      <c r="H55" s="28">
        <v>80377</v>
      </c>
      <c r="I55" s="28">
        <v>0</v>
      </c>
      <c r="J55" s="28">
        <f>5790+31908</f>
        <v>37698</v>
      </c>
      <c r="K55" s="28">
        <f>25443+242071+61699+92284</f>
        <v>421497</v>
      </c>
      <c r="L55" s="28">
        <v>242071</v>
      </c>
      <c r="M55" s="29">
        <v>13958</v>
      </c>
      <c r="O55" s="69">
        <v>0</v>
      </c>
    </row>
    <row r="56" spans="2:15" x14ac:dyDescent="0.3">
      <c r="B56" s="26" t="s">
        <v>3</v>
      </c>
      <c r="C56" s="27" t="s">
        <v>6</v>
      </c>
      <c r="D56" s="27" t="s">
        <v>23</v>
      </c>
      <c r="E56" s="28">
        <f t="shared" si="2"/>
        <v>341395</v>
      </c>
      <c r="F56" s="28">
        <f>100508+36901</f>
        <v>137409</v>
      </c>
      <c r="G56" s="28">
        <v>114721</v>
      </c>
      <c r="H56" s="28">
        <v>70713</v>
      </c>
      <c r="I56" s="28">
        <v>0</v>
      </c>
      <c r="J56" s="28">
        <f>2446+16106</f>
        <v>18552</v>
      </c>
      <c r="K56" s="28">
        <f>19719+212572+58570+132302</f>
        <v>423163</v>
      </c>
      <c r="L56" s="28">
        <v>212572</v>
      </c>
      <c r="M56" s="29">
        <v>11122</v>
      </c>
      <c r="O56" s="69">
        <v>0</v>
      </c>
    </row>
    <row r="57" spans="2:15" x14ac:dyDescent="0.3">
      <c r="B57" s="26" t="s">
        <v>3</v>
      </c>
      <c r="C57" s="27" t="s">
        <v>6</v>
      </c>
      <c r="D57" s="27" t="s">
        <v>24</v>
      </c>
      <c r="E57" s="28">
        <f t="shared" si="2"/>
        <v>347844</v>
      </c>
      <c r="F57" s="28">
        <f>85769+4128</f>
        <v>89897</v>
      </c>
      <c r="G57" s="28">
        <v>144945</v>
      </c>
      <c r="H57" s="28">
        <v>90714</v>
      </c>
      <c r="I57" s="28">
        <v>0</v>
      </c>
      <c r="J57" s="28">
        <v>22288</v>
      </c>
      <c r="K57" s="28">
        <f>10811+247565+59736+126109</f>
        <v>444221</v>
      </c>
      <c r="L57" s="28">
        <v>247565</v>
      </c>
      <c r="M57" s="40">
        <v>-86091</v>
      </c>
      <c r="O57" s="69">
        <v>0</v>
      </c>
    </row>
    <row r="58" spans="2:15" x14ac:dyDescent="0.3">
      <c r="B58" s="26" t="s">
        <v>3</v>
      </c>
      <c r="C58" s="27" t="s">
        <v>6</v>
      </c>
      <c r="D58" s="27" t="s">
        <v>25</v>
      </c>
      <c r="E58" s="28">
        <f t="shared" si="2"/>
        <v>407239</v>
      </c>
      <c r="F58" s="28">
        <f>111426+43679</f>
        <v>155105</v>
      </c>
      <c r="G58" s="28">
        <v>131416</v>
      </c>
      <c r="H58" s="28">
        <v>91260</v>
      </c>
      <c r="I58" s="28">
        <v>0</v>
      </c>
      <c r="J58" s="28">
        <v>29458</v>
      </c>
      <c r="K58" s="28">
        <f>20677+254254+53351+118582</f>
        <v>446864</v>
      </c>
      <c r="L58" s="28">
        <v>254254</v>
      </c>
      <c r="M58" s="40">
        <v>-22637</v>
      </c>
      <c r="O58" s="69">
        <v>0</v>
      </c>
    </row>
    <row r="59" spans="2:15" x14ac:dyDescent="0.3">
      <c r="B59" s="26" t="s">
        <v>3</v>
      </c>
      <c r="C59" s="27" t="s">
        <v>6</v>
      </c>
      <c r="D59" s="27" t="s">
        <v>26</v>
      </c>
      <c r="E59" s="28">
        <f t="shared" si="2"/>
        <v>396914</v>
      </c>
      <c r="F59" s="28">
        <f>75799+46608</f>
        <v>122407</v>
      </c>
      <c r="G59" s="28">
        <v>120438</v>
      </c>
      <c r="H59" s="28">
        <v>113094</v>
      </c>
      <c r="I59" s="28">
        <v>0</v>
      </c>
      <c r="J59" s="28">
        <f>9+1814+39152</f>
        <v>40975</v>
      </c>
      <c r="K59" s="28">
        <f>27725+244896+66421+81249</f>
        <v>420291</v>
      </c>
      <c r="L59" s="28">
        <v>244896</v>
      </c>
      <c r="M59" s="29">
        <v>359</v>
      </c>
      <c r="O59" s="69">
        <v>0</v>
      </c>
    </row>
    <row r="60" spans="2:15" x14ac:dyDescent="0.3">
      <c r="B60" s="26" t="s">
        <v>3</v>
      </c>
      <c r="C60" s="27" t="s">
        <v>6</v>
      </c>
      <c r="D60" s="27" t="s">
        <v>27</v>
      </c>
      <c r="E60" s="28">
        <f t="shared" si="2"/>
        <v>420413</v>
      </c>
      <c r="F60" s="28">
        <f>128233+49973</f>
        <v>178206</v>
      </c>
      <c r="G60" s="28">
        <v>119801</v>
      </c>
      <c r="H60" s="28">
        <v>90160</v>
      </c>
      <c r="I60" s="28">
        <v>0</v>
      </c>
      <c r="J60" s="28">
        <f>4+6928+25314</f>
        <v>32246</v>
      </c>
      <c r="K60" s="28">
        <f>34775+267663+64811+13965</f>
        <v>381214</v>
      </c>
      <c r="L60" s="28">
        <v>267663</v>
      </c>
      <c r="M60" s="29">
        <v>690</v>
      </c>
      <c r="O60" s="69">
        <v>0</v>
      </c>
    </row>
    <row r="61" spans="2:15" ht="15" thickBot="1" x14ac:dyDescent="0.35">
      <c r="B61" s="30" t="s">
        <v>3</v>
      </c>
      <c r="C61" s="31" t="s">
        <v>6</v>
      </c>
      <c r="D61" s="31" t="s">
        <v>28</v>
      </c>
      <c r="E61" s="32">
        <f t="shared" si="2"/>
        <v>447386</v>
      </c>
      <c r="F61" s="32">
        <f>134956+56319</f>
        <v>191275</v>
      </c>
      <c r="G61" s="32">
        <v>109218</v>
      </c>
      <c r="H61" s="32">
        <v>113460</v>
      </c>
      <c r="I61" s="32">
        <v>0</v>
      </c>
      <c r="J61" s="32">
        <f>2095+31338</f>
        <v>33433</v>
      </c>
      <c r="K61" s="32">
        <f>34803+279939+78799+92443</f>
        <v>485984</v>
      </c>
      <c r="L61" s="32">
        <v>279939</v>
      </c>
      <c r="M61" s="42">
        <v>-5991</v>
      </c>
      <c r="O61" s="76">
        <v>0</v>
      </c>
    </row>
    <row r="62" spans="2:15" x14ac:dyDescent="0.3">
      <c r="B62" s="16" t="s">
        <v>29</v>
      </c>
      <c r="C62" s="6" t="s">
        <v>30</v>
      </c>
      <c r="D62" s="6" t="s">
        <v>18</v>
      </c>
      <c r="E62" s="7">
        <f>SUM(F62:J62)</f>
        <v>408087.68</v>
      </c>
      <c r="F62" s="48">
        <v>125766.732</v>
      </c>
      <c r="G62" s="48">
        <v>132484.53400000001</v>
      </c>
      <c r="H62" s="48">
        <v>149836.41399999999</v>
      </c>
      <c r="I62" s="48">
        <v>0</v>
      </c>
      <c r="J62" s="48">
        <v>0</v>
      </c>
      <c r="K62" s="48">
        <v>349599.614</v>
      </c>
      <c r="L62" s="48">
        <v>205990.51200000002</v>
      </c>
      <c r="M62" s="36">
        <v>29700.761999999999</v>
      </c>
      <c r="O62" s="61">
        <v>1.274</v>
      </c>
    </row>
    <row r="63" spans="2:15" x14ac:dyDescent="0.3">
      <c r="B63" s="17" t="s">
        <v>29</v>
      </c>
      <c r="C63" s="10" t="s">
        <v>30</v>
      </c>
      <c r="D63" s="10" t="s">
        <v>19</v>
      </c>
      <c r="E63" s="11">
        <f>SUM(F63:J63)</f>
        <v>415125.027</v>
      </c>
      <c r="F63" s="47">
        <v>124727.58900000001</v>
      </c>
      <c r="G63" s="47">
        <v>116157.375</v>
      </c>
      <c r="H63" s="47">
        <v>174240.06299999999</v>
      </c>
      <c r="I63" s="47">
        <v>0</v>
      </c>
      <c r="J63" s="47">
        <v>0</v>
      </c>
      <c r="K63" s="47">
        <v>347609.16000000003</v>
      </c>
      <c r="L63" s="47">
        <v>206337.78899999999</v>
      </c>
      <c r="M63" s="20">
        <v>167356.91700000002</v>
      </c>
      <c r="O63" s="62">
        <v>1.143</v>
      </c>
    </row>
    <row r="64" spans="2:15" x14ac:dyDescent="0.3">
      <c r="B64" s="17" t="s">
        <v>29</v>
      </c>
      <c r="C64" s="10" t="s">
        <v>30</v>
      </c>
      <c r="D64" s="10" t="s">
        <v>7</v>
      </c>
      <c r="E64" s="11">
        <f t="shared" ref="E64:E74" si="3">SUM(F64:J64)</f>
        <v>546219.804</v>
      </c>
      <c r="F64" s="47">
        <v>136317.883</v>
      </c>
      <c r="G64" s="47">
        <v>171175.70599999998</v>
      </c>
      <c r="H64" s="47">
        <v>238726.21499999997</v>
      </c>
      <c r="I64" s="47">
        <v>0</v>
      </c>
      <c r="J64" s="47">
        <v>0</v>
      </c>
      <c r="K64" s="47">
        <v>462857.61599999998</v>
      </c>
      <c r="L64" s="47">
        <v>270866.58299999998</v>
      </c>
      <c r="M64" s="20">
        <v>30055.934999999998</v>
      </c>
      <c r="O64" s="62">
        <v>1.2609999999999999</v>
      </c>
    </row>
    <row r="65" spans="2:15" x14ac:dyDescent="0.3">
      <c r="B65" s="17" t="s">
        <v>29</v>
      </c>
      <c r="C65" s="10" t="s">
        <v>30</v>
      </c>
      <c r="D65" s="10" t="s">
        <v>8</v>
      </c>
      <c r="E65" s="11">
        <f t="shared" si="3"/>
        <v>561943.11599999992</v>
      </c>
      <c r="F65" s="47">
        <v>128809.026</v>
      </c>
      <c r="G65" s="47">
        <v>153098.20799999998</v>
      </c>
      <c r="H65" s="47">
        <v>280035.88199999998</v>
      </c>
      <c r="I65" s="47">
        <v>0</v>
      </c>
      <c r="J65" s="47">
        <v>0</v>
      </c>
      <c r="K65" s="47">
        <v>547246.74599999993</v>
      </c>
      <c r="L65" s="47">
        <v>288041.74199999997</v>
      </c>
      <c r="M65" s="57">
        <v>-1272.6899999999998</v>
      </c>
      <c r="O65" s="62">
        <v>1.4219999999999999</v>
      </c>
    </row>
    <row r="66" spans="2:15" x14ac:dyDescent="0.3">
      <c r="B66" s="17" t="s">
        <v>29</v>
      </c>
      <c r="C66" s="10" t="s">
        <v>30</v>
      </c>
      <c r="D66" s="10" t="s">
        <v>9</v>
      </c>
      <c r="E66" s="11">
        <f t="shared" si="3"/>
        <v>609653.13500000001</v>
      </c>
      <c r="F66" s="47">
        <v>126092.421</v>
      </c>
      <c r="G66" s="47">
        <v>166140.52000000002</v>
      </c>
      <c r="H66" s="47">
        <v>317420.19400000002</v>
      </c>
      <c r="I66" s="47">
        <v>0</v>
      </c>
      <c r="J66" s="47">
        <v>0</v>
      </c>
      <c r="K66" s="47">
        <v>498722.04200000002</v>
      </c>
      <c r="L66" s="47">
        <v>274742.28600000002</v>
      </c>
      <c r="M66" s="20">
        <v>43026.893000000004</v>
      </c>
      <c r="O66" s="62">
        <v>1.1830000000000001</v>
      </c>
    </row>
    <row r="67" spans="2:15" x14ac:dyDescent="0.3">
      <c r="B67" s="17" t="s">
        <v>29</v>
      </c>
      <c r="C67" s="10" t="s">
        <v>30</v>
      </c>
      <c r="D67" s="10" t="s">
        <v>20</v>
      </c>
      <c r="E67" s="11">
        <f t="shared" si="3"/>
        <v>648623.66400000011</v>
      </c>
      <c r="F67" s="47">
        <v>124584.66000000002</v>
      </c>
      <c r="G67" s="47">
        <v>216613.36800000002</v>
      </c>
      <c r="H67" s="47">
        <v>307425.63600000006</v>
      </c>
      <c r="I67" s="47">
        <v>0</v>
      </c>
      <c r="J67" s="47">
        <v>0</v>
      </c>
      <c r="K67" s="47">
        <v>575931.88800000004</v>
      </c>
      <c r="L67" s="47">
        <v>294025.82400000002</v>
      </c>
      <c r="M67" s="20">
        <v>43721.532000000007</v>
      </c>
      <c r="O67" s="62">
        <v>1.1160000000000001</v>
      </c>
    </row>
    <row r="68" spans="2:15" x14ac:dyDescent="0.3">
      <c r="B68" s="17" t="s">
        <v>29</v>
      </c>
      <c r="C68" s="10" t="s">
        <v>30</v>
      </c>
      <c r="D68" s="10" t="s">
        <v>21</v>
      </c>
      <c r="E68" s="11">
        <f t="shared" si="3"/>
        <v>662004.68400000012</v>
      </c>
      <c r="F68" s="47">
        <v>123179.89200000001</v>
      </c>
      <c r="G68" s="47">
        <v>229041.71400000004</v>
      </c>
      <c r="H68" s="47">
        <v>309783.07800000004</v>
      </c>
      <c r="I68" s="47">
        <v>0</v>
      </c>
      <c r="J68" s="47">
        <v>0</v>
      </c>
      <c r="K68" s="47">
        <v>630663.85800000001</v>
      </c>
      <c r="L68" s="47">
        <v>332039.07</v>
      </c>
      <c r="M68" s="57">
        <v>-41816.94</v>
      </c>
      <c r="O68" s="62">
        <v>1.1220000000000001</v>
      </c>
    </row>
    <row r="69" spans="2:15" x14ac:dyDescent="0.3">
      <c r="B69" s="17" t="s">
        <v>29</v>
      </c>
      <c r="C69" s="10" t="s">
        <v>30</v>
      </c>
      <c r="D69" s="10" t="s">
        <v>22</v>
      </c>
      <c r="E69" s="11">
        <f t="shared" si="3"/>
        <v>687952.83400000003</v>
      </c>
      <c r="F69" s="47">
        <v>121568.443</v>
      </c>
      <c r="G69" s="47">
        <v>264607.37</v>
      </c>
      <c r="H69" s="47">
        <v>301777.02100000001</v>
      </c>
      <c r="I69" s="47">
        <v>0</v>
      </c>
      <c r="J69" s="47">
        <v>0</v>
      </c>
      <c r="K69" s="47">
        <v>639920.68900000001</v>
      </c>
      <c r="L69" s="47">
        <v>364594.53200000001</v>
      </c>
      <c r="M69" s="20">
        <v>20712.456999999999</v>
      </c>
      <c r="O69" s="62">
        <v>1.097</v>
      </c>
    </row>
    <row r="70" spans="2:15" x14ac:dyDescent="0.3">
      <c r="B70" s="17" t="s">
        <v>29</v>
      </c>
      <c r="C70" s="10" t="s">
        <v>30</v>
      </c>
      <c r="D70" s="10" t="s">
        <v>23</v>
      </c>
      <c r="E70" s="11">
        <f t="shared" si="3"/>
        <v>565544.55099999998</v>
      </c>
      <c r="F70" s="47">
        <v>99761.134000000005</v>
      </c>
      <c r="G70" s="47">
        <v>155765.533</v>
      </c>
      <c r="H70" s="47">
        <v>310017.88400000002</v>
      </c>
      <c r="I70" s="47">
        <v>0</v>
      </c>
      <c r="J70" s="47">
        <v>0</v>
      </c>
      <c r="K70" s="47">
        <v>580168.64399999997</v>
      </c>
      <c r="L70" s="47">
        <v>315556.21899999998</v>
      </c>
      <c r="M70" s="57">
        <v>-25811.863000000001</v>
      </c>
      <c r="O70" s="62">
        <v>1.111</v>
      </c>
    </row>
    <row r="71" spans="2:15" x14ac:dyDescent="0.3">
      <c r="B71" s="17" t="s">
        <v>29</v>
      </c>
      <c r="C71" s="10" t="s">
        <v>30</v>
      </c>
      <c r="D71" s="10" t="s">
        <v>24</v>
      </c>
      <c r="E71" s="11">
        <f t="shared" si="3"/>
        <v>578611.00699999998</v>
      </c>
      <c r="F71" s="47">
        <v>8310.5869999999995</v>
      </c>
      <c r="G71" s="47">
        <v>298388.36499999999</v>
      </c>
      <c r="H71" s="47">
        <v>271912.05499999999</v>
      </c>
      <c r="I71" s="47">
        <v>0</v>
      </c>
      <c r="J71" s="47">
        <v>0</v>
      </c>
      <c r="K71" s="47">
        <v>630494.50400000007</v>
      </c>
      <c r="L71" s="47">
        <v>377764.60000000003</v>
      </c>
      <c r="M71" s="57">
        <v>-107984.936</v>
      </c>
      <c r="O71" s="62">
        <v>1.171</v>
      </c>
    </row>
    <row r="72" spans="2:15" x14ac:dyDescent="0.3">
      <c r="B72" s="17" t="s">
        <v>29</v>
      </c>
      <c r="C72" s="10" t="s">
        <v>30</v>
      </c>
      <c r="D72" s="10" t="s">
        <v>25</v>
      </c>
      <c r="E72" s="11">
        <f t="shared" si="3"/>
        <v>694009.19</v>
      </c>
      <c r="F72" s="47">
        <v>131535.46</v>
      </c>
      <c r="G72" s="47">
        <v>255667.93</v>
      </c>
      <c r="H72" s="47">
        <v>306805.8</v>
      </c>
      <c r="I72" s="47">
        <v>0</v>
      </c>
      <c r="J72" s="47">
        <v>0</v>
      </c>
      <c r="K72" s="47">
        <v>824098.79999999993</v>
      </c>
      <c r="L72" s="47">
        <v>457127.79</v>
      </c>
      <c r="M72" s="57">
        <v>-137456.9</v>
      </c>
      <c r="O72" s="62">
        <v>1.19</v>
      </c>
    </row>
    <row r="73" spans="2:15" x14ac:dyDescent="0.3">
      <c r="B73" s="17" t="s">
        <v>29</v>
      </c>
      <c r="C73" s="10" t="s">
        <v>30</v>
      </c>
      <c r="D73" s="10" t="s">
        <v>26</v>
      </c>
      <c r="E73" s="11">
        <f t="shared" si="3"/>
        <v>756683.96699999995</v>
      </c>
      <c r="F73" s="47">
        <v>159202.14000000001</v>
      </c>
      <c r="G73" s="47">
        <v>244013.86500000002</v>
      </c>
      <c r="H73" s="47">
        <v>353467.962</v>
      </c>
      <c r="I73" s="47">
        <v>0</v>
      </c>
      <c r="J73" s="47">
        <v>0</v>
      </c>
      <c r="K73" s="47">
        <v>794863.53899999999</v>
      </c>
      <c r="L73" s="47">
        <v>386713.45799999998</v>
      </c>
      <c r="M73" s="57">
        <v>-33467.226000000002</v>
      </c>
      <c r="O73" s="62">
        <v>1.167</v>
      </c>
    </row>
    <row r="74" spans="2:15" x14ac:dyDescent="0.3">
      <c r="B74" s="17" t="s">
        <v>29</v>
      </c>
      <c r="C74" s="10" t="s">
        <v>30</v>
      </c>
      <c r="D74" s="10" t="s">
        <v>27</v>
      </c>
      <c r="E74" s="11">
        <f t="shared" si="3"/>
        <v>786164.94</v>
      </c>
      <c r="F74" s="47">
        <v>162915.19199999998</v>
      </c>
      <c r="G74" s="47">
        <v>263433.06</v>
      </c>
      <c r="H74" s="47">
        <v>359816.68799999997</v>
      </c>
      <c r="I74" s="47">
        <v>0</v>
      </c>
      <c r="J74" s="47">
        <v>0</v>
      </c>
      <c r="K74" s="47">
        <v>913013.64</v>
      </c>
      <c r="L74" s="47">
        <v>433286.17199999996</v>
      </c>
      <c r="M74" s="57">
        <v>-134432.89199999999</v>
      </c>
      <c r="O74" s="62">
        <v>1.1879999999999999</v>
      </c>
    </row>
    <row r="75" spans="2:15" ht="15" thickBot="1" x14ac:dyDescent="0.35">
      <c r="B75" s="18" t="s">
        <v>29</v>
      </c>
      <c r="C75" s="19" t="s">
        <v>30</v>
      </c>
      <c r="D75" s="19" t="s">
        <v>28</v>
      </c>
      <c r="E75" s="15">
        <f>(SUM(F75:J75))</f>
        <v>771156.69799999997</v>
      </c>
      <c r="F75" s="49">
        <v>185424.291</v>
      </c>
      <c r="G75" s="49">
        <v>200134.389</v>
      </c>
      <c r="H75" s="49">
        <v>385598.01799999998</v>
      </c>
      <c r="I75" s="49">
        <v>0</v>
      </c>
      <c r="J75" s="49">
        <v>0</v>
      </c>
      <c r="K75" s="49">
        <f>(313256+170429+196373+36626+17002)*1.157</f>
        <v>848874.70200000005</v>
      </c>
      <c r="L75" s="49">
        <v>362437.19199999998</v>
      </c>
      <c r="M75" s="58">
        <v>-38207.611000000004</v>
      </c>
      <c r="O75" s="77">
        <v>1.157</v>
      </c>
    </row>
    <row r="76" spans="2:15" x14ac:dyDescent="0.3">
      <c r="B76" s="21" t="s">
        <v>29</v>
      </c>
      <c r="C76" s="22" t="s">
        <v>31</v>
      </c>
      <c r="D76" s="22" t="s">
        <v>7</v>
      </c>
      <c r="E76" s="50">
        <f>(346512+1775)*1.261</f>
        <v>439189.90699999995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461727.75999999995</v>
      </c>
      <c r="L76" s="50">
        <v>0</v>
      </c>
      <c r="M76" s="82">
        <v>-28913.468999999997</v>
      </c>
      <c r="O76" s="64">
        <v>1.2609999999999999</v>
      </c>
    </row>
    <row r="77" spans="2:15" x14ac:dyDescent="0.3">
      <c r="B77" s="26" t="s">
        <v>29</v>
      </c>
      <c r="C77" s="27" t="s">
        <v>31</v>
      </c>
      <c r="D77" s="27" t="s">
        <v>8</v>
      </c>
      <c r="E77" s="46">
        <f>(351766+800)*1.422</f>
        <v>501348.85199999996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498571.68599999999</v>
      </c>
      <c r="L77" s="46">
        <v>0</v>
      </c>
      <c r="M77" s="35">
        <v>15285.078</v>
      </c>
      <c r="O77" s="65">
        <v>1.4219999999999999</v>
      </c>
    </row>
    <row r="78" spans="2:15" x14ac:dyDescent="0.3">
      <c r="B78" s="26" t="s">
        <v>29</v>
      </c>
      <c r="C78" s="27" t="s">
        <v>31</v>
      </c>
      <c r="D78" s="27" t="s">
        <v>9</v>
      </c>
      <c r="E78" s="46">
        <f>(391774+800)*1.183</f>
        <v>464415.04200000002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461101.45900000003</v>
      </c>
      <c r="L78" s="46">
        <v>0</v>
      </c>
      <c r="M78" s="35">
        <v>24231.389000000003</v>
      </c>
      <c r="O78" s="65">
        <v>1.1830000000000001</v>
      </c>
    </row>
    <row r="79" spans="2:15" x14ac:dyDescent="0.3">
      <c r="B79" s="26" t="s">
        <v>29</v>
      </c>
      <c r="C79" s="27" t="s">
        <v>31</v>
      </c>
      <c r="D79" s="27" t="s">
        <v>20</v>
      </c>
      <c r="E79" s="46">
        <f>(473375+2450)*1.116</f>
        <v>531020.70000000007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564700.46400000004</v>
      </c>
      <c r="L79" s="46">
        <v>0</v>
      </c>
      <c r="M79" s="35">
        <v>1214.2080000000001</v>
      </c>
      <c r="O79" s="65">
        <v>1.1160000000000001</v>
      </c>
    </row>
    <row r="80" spans="2:15" x14ac:dyDescent="0.3">
      <c r="B80" s="26" t="s">
        <v>29</v>
      </c>
      <c r="C80" s="27" t="s">
        <v>31</v>
      </c>
      <c r="D80" s="27" t="s">
        <v>21</v>
      </c>
      <c r="E80" s="46">
        <f>(500456+3035)*1.122</f>
        <v>564916.902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589783.78800000006</v>
      </c>
      <c r="L80" s="46">
        <v>0</v>
      </c>
      <c r="M80" s="35">
        <v>11711.436000000002</v>
      </c>
      <c r="O80" s="65">
        <v>1.1220000000000001</v>
      </c>
    </row>
    <row r="81" spans="2:15" x14ac:dyDescent="0.3">
      <c r="B81" s="26" t="s">
        <v>29</v>
      </c>
      <c r="C81" s="27" t="s">
        <v>31</v>
      </c>
      <c r="D81" s="27" t="s">
        <v>22</v>
      </c>
      <c r="E81" s="46">
        <f>(535169+3001)*1.097</f>
        <v>590372.49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614664.45799999998</v>
      </c>
      <c r="L81" s="46">
        <v>0</v>
      </c>
      <c r="M81" s="35">
        <v>11056.663</v>
      </c>
      <c r="O81" s="65">
        <v>1.097</v>
      </c>
    </row>
    <row r="82" spans="2:15" x14ac:dyDescent="0.3">
      <c r="B82" s="26" t="s">
        <v>29</v>
      </c>
      <c r="C82" s="27" t="s">
        <v>31</v>
      </c>
      <c r="D82" s="27" t="s">
        <v>23</v>
      </c>
      <c r="E82" s="46">
        <f>(478359+3239)*1.111</f>
        <v>535055.37800000003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712349.86899999995</v>
      </c>
      <c r="L82" s="46">
        <v>0</v>
      </c>
      <c r="M82" s="57">
        <v>-140001.554</v>
      </c>
      <c r="O82" s="65">
        <v>1.111</v>
      </c>
    </row>
    <row r="83" spans="2:15" x14ac:dyDescent="0.3">
      <c r="B83" s="26" t="s">
        <v>29</v>
      </c>
      <c r="C83" s="27" t="s">
        <v>31</v>
      </c>
      <c r="D83" s="27" t="s">
        <v>24</v>
      </c>
      <c r="E83" s="46">
        <f>(569849+1244)*1.171</f>
        <v>668749.90300000005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737539.12699999998</v>
      </c>
      <c r="L83" s="46">
        <v>0</v>
      </c>
      <c r="M83" s="35">
        <v>2771.7570000000001</v>
      </c>
      <c r="O83" s="65">
        <v>1.171</v>
      </c>
    </row>
    <row r="84" spans="2:15" x14ac:dyDescent="0.3">
      <c r="B84" s="26" t="s">
        <v>29</v>
      </c>
      <c r="C84" s="27" t="s">
        <v>31</v>
      </c>
      <c r="D84" s="27" t="s">
        <v>25</v>
      </c>
      <c r="E84" s="46">
        <f>(613014+6068)*1.19</f>
        <v>736707.58</v>
      </c>
      <c r="F84" s="46">
        <v>0</v>
      </c>
      <c r="G84" s="46">
        <v>0</v>
      </c>
      <c r="H84" s="46">
        <v>0</v>
      </c>
      <c r="I84" s="46">
        <v>0</v>
      </c>
      <c r="J84" s="46">
        <v>0</v>
      </c>
      <c r="K84" s="46">
        <v>762180.72</v>
      </c>
      <c r="L84" s="46">
        <v>0</v>
      </c>
      <c r="M84" s="35">
        <v>49653.939999999995</v>
      </c>
      <c r="O84" s="65">
        <v>1.19</v>
      </c>
    </row>
    <row r="85" spans="2:15" x14ac:dyDescent="0.3">
      <c r="B85" s="26" t="s">
        <v>29</v>
      </c>
      <c r="C85" s="27" t="s">
        <v>31</v>
      </c>
      <c r="D85" s="27" t="s">
        <v>26</v>
      </c>
      <c r="E85" s="46">
        <f>(712768+5456)*1.167</f>
        <v>838167.40800000005</v>
      </c>
      <c r="F85" s="46">
        <v>0</v>
      </c>
      <c r="G85" s="46">
        <v>0</v>
      </c>
      <c r="H85" s="46">
        <v>0</v>
      </c>
      <c r="I85" s="46">
        <v>0</v>
      </c>
      <c r="J85" s="46">
        <v>0</v>
      </c>
      <c r="K85" s="46">
        <v>879756.95400000003</v>
      </c>
      <c r="L85" s="46">
        <v>0</v>
      </c>
      <c r="M85" s="35">
        <v>93792.957000000009</v>
      </c>
      <c r="O85" s="65">
        <v>1.167</v>
      </c>
    </row>
    <row r="86" spans="2:15" x14ac:dyDescent="0.3">
      <c r="B86" s="26" t="s">
        <v>29</v>
      </c>
      <c r="C86" s="27" t="s">
        <v>31</v>
      </c>
      <c r="D86" s="27" t="s">
        <v>27</v>
      </c>
      <c r="E86" s="46">
        <f>(715019+4455)*1.188</f>
        <v>854735.11199999996</v>
      </c>
      <c r="F86" s="46">
        <v>0</v>
      </c>
      <c r="G86" s="46">
        <v>0</v>
      </c>
      <c r="H86" s="46">
        <v>0</v>
      </c>
      <c r="I86" s="46">
        <v>0</v>
      </c>
      <c r="J86" s="46">
        <v>0</v>
      </c>
      <c r="K86" s="46">
        <v>926605.54799999995</v>
      </c>
      <c r="L86" s="46">
        <v>0</v>
      </c>
      <c r="M86" s="35">
        <v>87623.315999999992</v>
      </c>
      <c r="O86" s="65">
        <v>1.1879999999999999</v>
      </c>
    </row>
    <row r="87" spans="2:15" ht="15" thickBot="1" x14ac:dyDescent="0.35">
      <c r="B87" s="30" t="s">
        <v>29</v>
      </c>
      <c r="C87" s="31" t="s">
        <v>31</v>
      </c>
      <c r="D87" s="31" t="s">
        <v>28</v>
      </c>
      <c r="E87" s="51">
        <f>(694094+2835)*1.157</f>
        <v>806346.853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914297.26699999999</v>
      </c>
      <c r="L87" s="51">
        <v>0</v>
      </c>
      <c r="M87" s="58">
        <v>-11472.812</v>
      </c>
      <c r="O87" s="78">
        <v>1.157</v>
      </c>
    </row>
    <row r="88" spans="2:15" x14ac:dyDescent="0.3">
      <c r="B88" s="16" t="s">
        <v>29</v>
      </c>
      <c r="C88" s="6" t="s">
        <v>32</v>
      </c>
      <c r="D88" s="6" t="s">
        <v>11</v>
      </c>
      <c r="E88" s="48">
        <v>200534.35500000001</v>
      </c>
      <c r="F88" s="48">
        <v>0</v>
      </c>
      <c r="G88" s="48">
        <v>0</v>
      </c>
      <c r="H88" s="48">
        <v>0</v>
      </c>
      <c r="I88" s="80">
        <v>0</v>
      </c>
      <c r="J88" s="80">
        <v>0</v>
      </c>
      <c r="K88" s="80">
        <v>174976.89300000001</v>
      </c>
      <c r="L88" s="80">
        <v>0</v>
      </c>
      <c r="M88" s="81">
        <v>12016.557000000001</v>
      </c>
      <c r="O88" s="61">
        <v>1.4490000000000001</v>
      </c>
    </row>
    <row r="89" spans="2:15" x14ac:dyDescent="0.3">
      <c r="B89" s="17" t="s">
        <v>29</v>
      </c>
      <c r="C89" s="10" t="s">
        <v>32</v>
      </c>
      <c r="D89" s="10" t="s">
        <v>12</v>
      </c>
      <c r="E89" s="47">
        <v>200777.731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206540.48800000001</v>
      </c>
      <c r="L89" s="47">
        <v>0</v>
      </c>
      <c r="M89" s="20">
        <v>11560.626</v>
      </c>
      <c r="O89" s="62">
        <v>1.4630000000000001</v>
      </c>
    </row>
    <row r="90" spans="2:15" x14ac:dyDescent="0.3">
      <c r="B90" s="17" t="s">
        <v>29</v>
      </c>
      <c r="C90" s="10" t="s">
        <v>32</v>
      </c>
      <c r="D90" s="10" t="s">
        <v>13</v>
      </c>
      <c r="E90" s="47">
        <v>298051.01199999999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263361.02799999999</v>
      </c>
      <c r="L90" s="47">
        <v>0</v>
      </c>
      <c r="M90" s="20">
        <v>4178.9439999999995</v>
      </c>
      <c r="O90" s="62">
        <v>1.484</v>
      </c>
    </row>
    <row r="91" spans="2:15" x14ac:dyDescent="0.3">
      <c r="B91" s="17" t="s">
        <v>29</v>
      </c>
      <c r="C91" s="10" t="s">
        <v>32</v>
      </c>
      <c r="D91" s="10" t="s">
        <v>14</v>
      </c>
      <c r="E91" s="47">
        <v>283617.84000000003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249613.46400000001</v>
      </c>
      <c r="L91" s="47">
        <v>0</v>
      </c>
      <c r="M91" s="20">
        <v>32723.472000000002</v>
      </c>
      <c r="O91" s="62">
        <v>1.272</v>
      </c>
    </row>
    <row r="92" spans="2:15" x14ac:dyDescent="0.3">
      <c r="B92" s="17" t="s">
        <v>29</v>
      </c>
      <c r="C92" s="10" t="s">
        <v>32</v>
      </c>
      <c r="D92" s="10" t="s">
        <v>15</v>
      </c>
      <c r="E92" s="47">
        <v>367546.647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322370.89799999999</v>
      </c>
      <c r="L92" s="47">
        <v>0</v>
      </c>
      <c r="M92" s="20">
        <v>41324.79</v>
      </c>
      <c r="O92" s="62">
        <v>1.173</v>
      </c>
    </row>
    <row r="93" spans="2:15" x14ac:dyDescent="0.3">
      <c r="B93" s="17" t="s">
        <v>29</v>
      </c>
      <c r="C93" s="10" t="s">
        <v>32</v>
      </c>
      <c r="D93" s="10" t="s">
        <v>16</v>
      </c>
      <c r="E93" s="47">
        <v>456586.91200000001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413854.61</v>
      </c>
      <c r="L93" s="47">
        <v>0</v>
      </c>
      <c r="M93" s="20">
        <v>73312.383999999991</v>
      </c>
      <c r="O93" s="62">
        <v>1.202</v>
      </c>
    </row>
    <row r="94" spans="2:15" x14ac:dyDescent="0.3">
      <c r="B94" s="17" t="s">
        <v>29</v>
      </c>
      <c r="C94" s="10" t="s">
        <v>32</v>
      </c>
      <c r="D94" s="10" t="s">
        <v>17</v>
      </c>
      <c r="E94" s="47">
        <v>291488.87999999995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266516.03999999998</v>
      </c>
      <c r="L94" s="47">
        <v>0</v>
      </c>
      <c r="M94" s="20">
        <v>14401.619999999999</v>
      </c>
      <c r="O94" s="62">
        <v>1.1399999999999999</v>
      </c>
    </row>
    <row r="95" spans="2:15" x14ac:dyDescent="0.3">
      <c r="B95" s="17" t="s">
        <v>29</v>
      </c>
      <c r="C95" s="10" t="s">
        <v>32</v>
      </c>
      <c r="D95" s="10" t="s">
        <v>18</v>
      </c>
      <c r="E95" s="47">
        <v>309598.56199999998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330395.33799999999</v>
      </c>
      <c r="L95" s="47">
        <v>0</v>
      </c>
      <c r="M95" s="20">
        <v>37701.482000000004</v>
      </c>
      <c r="O95" s="62">
        <v>1.274</v>
      </c>
    </row>
    <row r="96" spans="2:15" x14ac:dyDescent="0.3">
      <c r="B96" s="17" t="s">
        <v>29</v>
      </c>
      <c r="C96" s="10" t="s">
        <v>32</v>
      </c>
      <c r="D96" s="10" t="s">
        <v>19</v>
      </c>
      <c r="E96" s="47">
        <v>320467.48200000002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352792.66499999998</v>
      </c>
      <c r="L96" s="47">
        <v>0</v>
      </c>
      <c r="M96" s="20">
        <v>6635.1149999999998</v>
      </c>
      <c r="O96" s="62">
        <v>1.143</v>
      </c>
    </row>
    <row r="97" spans="2:16" x14ac:dyDescent="0.3">
      <c r="B97" s="17" t="s">
        <v>29</v>
      </c>
      <c r="C97" s="10" t="s">
        <v>32</v>
      </c>
      <c r="D97" s="10" t="s">
        <v>7</v>
      </c>
      <c r="E97" s="47">
        <v>380660.59199999995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367969.88799999998</v>
      </c>
      <c r="L97" s="47">
        <v>0</v>
      </c>
      <c r="M97" s="20">
        <v>9168.7309999999998</v>
      </c>
      <c r="O97" s="62">
        <v>1.2609999999999999</v>
      </c>
    </row>
    <row r="98" spans="2:16" x14ac:dyDescent="0.3">
      <c r="B98" s="17" t="s">
        <v>29</v>
      </c>
      <c r="C98" s="10" t="s">
        <v>32</v>
      </c>
      <c r="D98" s="10" t="s">
        <v>8</v>
      </c>
      <c r="E98" s="47">
        <v>489913.12799999997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478879.82999999996</v>
      </c>
      <c r="L98" s="47">
        <v>0</v>
      </c>
      <c r="M98" s="20">
        <v>28502.567999999999</v>
      </c>
      <c r="O98" s="62">
        <v>1.4219999999999999</v>
      </c>
    </row>
    <row r="99" spans="2:16" x14ac:dyDescent="0.3">
      <c r="B99" s="17" t="s">
        <v>29</v>
      </c>
      <c r="C99" s="10" t="s">
        <v>32</v>
      </c>
      <c r="D99" s="10" t="s">
        <v>9</v>
      </c>
      <c r="E99" s="47">
        <v>418236.63700000005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418236.63700000005</v>
      </c>
      <c r="L99" s="47">
        <v>0</v>
      </c>
      <c r="M99" s="20">
        <v>1950.7670000000001</v>
      </c>
      <c r="O99" s="62">
        <v>1.1830000000000001</v>
      </c>
    </row>
    <row r="100" spans="2:16" x14ac:dyDescent="0.3">
      <c r="B100" s="17" t="s">
        <v>29</v>
      </c>
      <c r="C100" s="10" t="s">
        <v>32</v>
      </c>
      <c r="D100" s="10" t="s">
        <v>20</v>
      </c>
      <c r="E100" s="47">
        <v>473136.01200000005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415119.63600000006</v>
      </c>
      <c r="L100" s="47">
        <v>0</v>
      </c>
      <c r="M100" s="20">
        <v>39379.176000000007</v>
      </c>
      <c r="O100" s="62">
        <v>1.1160000000000001</v>
      </c>
    </row>
    <row r="101" spans="2:16" x14ac:dyDescent="0.3">
      <c r="B101" s="17" t="s">
        <v>29</v>
      </c>
      <c r="C101" s="10" t="s">
        <v>32</v>
      </c>
      <c r="D101" s="10" t="s">
        <v>21</v>
      </c>
      <c r="E101" s="47">
        <v>452467.81800000003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499601.91600000003</v>
      </c>
      <c r="L101" s="47">
        <v>0</v>
      </c>
      <c r="M101" s="20">
        <v>63453.588000000003</v>
      </c>
      <c r="O101" s="62">
        <v>1.1220000000000001</v>
      </c>
    </row>
    <row r="102" spans="2:16" x14ac:dyDescent="0.3">
      <c r="B102" s="17" t="s">
        <v>29</v>
      </c>
      <c r="C102" s="10" t="s">
        <v>32</v>
      </c>
      <c r="D102" s="10" t="s">
        <v>22</v>
      </c>
      <c r="E102" s="47">
        <v>433928.223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469736.49699999997</v>
      </c>
      <c r="L102" s="47">
        <v>0</v>
      </c>
      <c r="M102" s="57">
        <v>-29700.178</v>
      </c>
      <c r="O102" s="62">
        <v>1.097</v>
      </c>
    </row>
    <row r="103" spans="2:16" x14ac:dyDescent="0.3">
      <c r="B103" s="17" t="s">
        <v>29</v>
      </c>
      <c r="C103" s="10" t="s">
        <v>32</v>
      </c>
      <c r="D103" s="10" t="s">
        <v>23</v>
      </c>
      <c r="E103" s="47">
        <v>382769.49699999997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492712.946</v>
      </c>
      <c r="L103" s="47">
        <v>0</v>
      </c>
      <c r="M103" s="57">
        <v>-53081.358</v>
      </c>
      <c r="O103" s="62">
        <v>1.111</v>
      </c>
    </row>
    <row r="104" spans="2:16" x14ac:dyDescent="0.3">
      <c r="B104" s="17" t="s">
        <v>29</v>
      </c>
      <c r="C104" s="10" t="s">
        <v>32</v>
      </c>
      <c r="D104" s="10" t="s">
        <v>24</v>
      </c>
      <c r="E104" s="47">
        <v>384347.962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498958.41600000003</v>
      </c>
      <c r="L104" s="47">
        <v>0</v>
      </c>
      <c r="M104" s="57">
        <v>-125675.23300000001</v>
      </c>
      <c r="O104" s="62">
        <v>1.171</v>
      </c>
    </row>
    <row r="105" spans="2:16" x14ac:dyDescent="0.3">
      <c r="B105" s="17" t="s">
        <v>29</v>
      </c>
      <c r="C105" s="10" t="s">
        <v>32</v>
      </c>
      <c r="D105" s="10" t="s">
        <v>25</v>
      </c>
      <c r="E105" s="47">
        <v>442569.32999999996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515141.48</v>
      </c>
      <c r="L105" s="47">
        <v>0</v>
      </c>
      <c r="M105" s="57">
        <v>-54123.579999999994</v>
      </c>
      <c r="O105" s="62">
        <v>1.19</v>
      </c>
    </row>
    <row r="106" spans="2:16" x14ac:dyDescent="0.3">
      <c r="B106" s="17" t="s">
        <v>29</v>
      </c>
      <c r="C106" s="10" t="s">
        <v>32</v>
      </c>
      <c r="D106" s="10" t="s">
        <v>26</v>
      </c>
      <c r="E106" s="47">
        <v>544621.39500000002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609091.14300000004</v>
      </c>
      <c r="L106" s="47">
        <v>0</v>
      </c>
      <c r="M106" s="57">
        <v>-60828.707999999999</v>
      </c>
      <c r="O106" s="62">
        <v>1.167</v>
      </c>
    </row>
    <row r="107" spans="2:16" x14ac:dyDescent="0.3">
      <c r="B107" s="17" t="s">
        <v>29</v>
      </c>
      <c r="C107" s="10" t="s">
        <v>32</v>
      </c>
      <c r="D107" s="10" t="s">
        <v>27</v>
      </c>
      <c r="E107" s="47">
        <v>732497.03999999992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789989.11199999996</v>
      </c>
      <c r="L107" s="47">
        <v>0</v>
      </c>
      <c r="M107" s="57">
        <v>-21012.155999999999</v>
      </c>
      <c r="O107" s="62">
        <v>1.1879999999999999</v>
      </c>
    </row>
    <row r="108" spans="2:16" ht="15" thickBot="1" x14ac:dyDescent="0.35">
      <c r="B108" s="18" t="s">
        <v>29</v>
      </c>
      <c r="C108" s="19" t="s">
        <v>32</v>
      </c>
      <c r="D108" s="19" t="s">
        <v>28</v>
      </c>
      <c r="E108" s="49">
        <v>799484.68599999999</v>
      </c>
      <c r="F108" s="49">
        <v>0</v>
      </c>
      <c r="G108" s="49">
        <v>0</v>
      </c>
      <c r="H108" s="49">
        <v>0</v>
      </c>
      <c r="I108" s="49">
        <v>0</v>
      </c>
      <c r="J108" s="49">
        <v>0</v>
      </c>
      <c r="K108" s="49">
        <v>872616.34200000006</v>
      </c>
      <c r="L108" s="49">
        <v>0</v>
      </c>
      <c r="M108" s="58">
        <v>-1593.1890000000001</v>
      </c>
      <c r="O108" s="63">
        <v>1.157</v>
      </c>
    </row>
    <row r="109" spans="2:16" x14ac:dyDescent="0.3">
      <c r="B109" s="56" t="s">
        <v>33</v>
      </c>
      <c r="C109" s="53" t="s">
        <v>34</v>
      </c>
      <c r="D109" s="53" t="s">
        <v>12</v>
      </c>
      <c r="E109" s="24">
        <f t="shared" ref="E109:E128" si="4">SUM(F109:J109)</f>
        <v>220312</v>
      </c>
      <c r="F109" s="24">
        <v>17508</v>
      </c>
      <c r="G109" s="24">
        <v>127526</v>
      </c>
      <c r="H109" s="24">
        <v>55399</v>
      </c>
      <c r="I109" s="24">
        <v>0</v>
      </c>
      <c r="J109" s="24">
        <v>19879</v>
      </c>
      <c r="K109" s="24">
        <f>206863-3111</f>
        <v>203752</v>
      </c>
      <c r="L109" s="24">
        <f>127296+8045</f>
        <v>135341</v>
      </c>
      <c r="M109" s="55">
        <v>-45986</v>
      </c>
      <c r="N109" s="44"/>
      <c r="O109" s="79">
        <v>0</v>
      </c>
      <c r="P109" s="54"/>
    </row>
    <row r="110" spans="2:16" x14ac:dyDescent="0.3">
      <c r="B110" s="26" t="s">
        <v>33</v>
      </c>
      <c r="C110" s="27" t="s">
        <v>34</v>
      </c>
      <c r="D110" s="27" t="s">
        <v>13</v>
      </c>
      <c r="E110" s="28">
        <f t="shared" si="4"/>
        <v>145151</v>
      </c>
      <c r="F110" s="28">
        <v>7742</v>
      </c>
      <c r="G110" s="28">
        <v>92995</v>
      </c>
      <c r="H110" s="28">
        <v>34497</v>
      </c>
      <c r="I110" s="28">
        <v>0</v>
      </c>
      <c r="J110" s="28">
        <v>9917</v>
      </c>
      <c r="K110" s="28">
        <f>147396-4526</f>
        <v>142870</v>
      </c>
      <c r="L110" s="28">
        <f>95018+7872</f>
        <v>102890</v>
      </c>
      <c r="M110" s="40">
        <v>-927</v>
      </c>
      <c r="N110" s="44"/>
      <c r="O110" s="66">
        <v>0</v>
      </c>
      <c r="P110" s="54"/>
    </row>
    <row r="111" spans="2:16" x14ac:dyDescent="0.3">
      <c r="B111" s="26" t="s">
        <v>33</v>
      </c>
      <c r="C111" s="27" t="s">
        <v>34</v>
      </c>
      <c r="D111" s="27" t="s">
        <v>14</v>
      </c>
      <c r="E111" s="28">
        <f t="shared" si="4"/>
        <v>186601</v>
      </c>
      <c r="F111" s="28">
        <v>13980</v>
      </c>
      <c r="G111" s="28">
        <v>124249</v>
      </c>
      <c r="H111" s="28">
        <v>41172</v>
      </c>
      <c r="I111" s="28">
        <v>0</v>
      </c>
      <c r="J111" s="28">
        <v>7200</v>
      </c>
      <c r="K111" s="28">
        <f>174483-2172</f>
        <v>172311</v>
      </c>
      <c r="L111" s="28">
        <f>112739+8123</f>
        <v>120862</v>
      </c>
      <c r="M111" s="40">
        <v>-20787</v>
      </c>
      <c r="N111" s="44"/>
      <c r="O111" s="66">
        <v>0</v>
      </c>
      <c r="P111" s="54"/>
    </row>
    <row r="112" spans="2:16" x14ac:dyDescent="0.3">
      <c r="B112" s="26" t="s">
        <v>33</v>
      </c>
      <c r="C112" s="27" t="s">
        <v>34</v>
      </c>
      <c r="D112" s="27" t="s">
        <v>15</v>
      </c>
      <c r="E112" s="28">
        <f t="shared" si="4"/>
        <v>223161</v>
      </c>
      <c r="F112" s="28">
        <v>18435</v>
      </c>
      <c r="G112" s="28">
        <v>150350</v>
      </c>
      <c r="H112" s="28">
        <v>46133</v>
      </c>
      <c r="I112" s="28">
        <v>0</v>
      </c>
      <c r="J112" s="28">
        <v>8243</v>
      </c>
      <c r="K112" s="28">
        <f>194179-2271</f>
        <v>191908</v>
      </c>
      <c r="L112" s="28">
        <f>129285+8477</f>
        <v>137762</v>
      </c>
      <c r="M112" s="29">
        <v>6582</v>
      </c>
      <c r="N112" s="44"/>
      <c r="O112" s="66">
        <v>0</v>
      </c>
      <c r="P112" s="54"/>
    </row>
    <row r="113" spans="2:16" x14ac:dyDescent="0.3">
      <c r="B113" s="26" t="s">
        <v>33</v>
      </c>
      <c r="C113" s="27" t="s">
        <v>34</v>
      </c>
      <c r="D113" s="27" t="s">
        <v>16</v>
      </c>
      <c r="E113" s="28">
        <f t="shared" si="4"/>
        <v>205065</v>
      </c>
      <c r="F113" s="28">
        <v>16990</v>
      </c>
      <c r="G113" s="28">
        <v>132483</v>
      </c>
      <c r="H113" s="28">
        <v>45678</v>
      </c>
      <c r="I113" s="28">
        <v>0</v>
      </c>
      <c r="J113" s="28">
        <v>9914</v>
      </c>
      <c r="K113" s="28">
        <f>176055-3421</f>
        <v>172634</v>
      </c>
      <c r="L113" s="28">
        <f>127035+11167</f>
        <v>138202</v>
      </c>
      <c r="M113" s="40">
        <v>-10967</v>
      </c>
      <c r="N113" s="44"/>
      <c r="O113" s="66">
        <v>0</v>
      </c>
      <c r="P113" s="54"/>
    </row>
    <row r="114" spans="2:16" x14ac:dyDescent="0.3">
      <c r="B114" s="26" t="s">
        <v>33</v>
      </c>
      <c r="C114" s="27" t="s">
        <v>34</v>
      </c>
      <c r="D114" s="27" t="s">
        <v>17</v>
      </c>
      <c r="E114" s="28">
        <f t="shared" si="4"/>
        <v>153826</v>
      </c>
      <c r="F114" s="28">
        <v>11552</v>
      </c>
      <c r="G114" s="28">
        <v>88711</v>
      </c>
      <c r="H114" s="28">
        <v>43270</v>
      </c>
      <c r="I114" s="28">
        <v>0</v>
      </c>
      <c r="J114" s="28">
        <v>10293</v>
      </c>
      <c r="K114" s="28">
        <f>196298-16171</f>
        <v>180127</v>
      </c>
      <c r="L114" s="28">
        <f>126920+12733</f>
        <v>139653</v>
      </c>
      <c r="M114" s="40">
        <v>-95414</v>
      </c>
      <c r="N114" s="44"/>
      <c r="O114" s="66">
        <v>0</v>
      </c>
      <c r="P114" s="54"/>
    </row>
    <row r="115" spans="2:16" x14ac:dyDescent="0.3">
      <c r="B115" s="26" t="s">
        <v>33</v>
      </c>
      <c r="C115" s="27" t="s">
        <v>34</v>
      </c>
      <c r="D115" s="27" t="s">
        <v>18</v>
      </c>
      <c r="E115" s="28">
        <f t="shared" si="4"/>
        <v>195351</v>
      </c>
      <c r="F115" s="28">
        <v>31824</v>
      </c>
      <c r="G115" s="28">
        <v>90581</v>
      </c>
      <c r="H115" s="28">
        <v>53452</v>
      </c>
      <c r="I115" s="28">
        <v>0</v>
      </c>
      <c r="J115" s="28">
        <v>19494</v>
      </c>
      <c r="K115" s="28">
        <f>206318-6297</f>
        <v>200021</v>
      </c>
      <c r="L115" s="28">
        <f>137131+12959</f>
        <v>150090</v>
      </c>
      <c r="M115" s="40">
        <v>-48654</v>
      </c>
      <c r="N115" s="44"/>
      <c r="O115" s="66">
        <v>0</v>
      </c>
      <c r="P115" s="54"/>
    </row>
    <row r="116" spans="2:16" x14ac:dyDescent="0.3">
      <c r="B116" s="26" t="s">
        <v>33</v>
      </c>
      <c r="C116" s="27" t="s">
        <v>34</v>
      </c>
      <c r="D116" s="27" t="s">
        <v>19</v>
      </c>
      <c r="E116" s="28">
        <f t="shared" si="4"/>
        <v>272402</v>
      </c>
      <c r="F116" s="28">
        <v>38051</v>
      </c>
      <c r="G116" s="28">
        <v>163477</v>
      </c>
      <c r="H116" s="28">
        <v>52598</v>
      </c>
      <c r="I116" s="28">
        <v>0</v>
      </c>
      <c r="J116" s="28">
        <v>18276</v>
      </c>
      <c r="K116" s="28">
        <f>227090-5579</f>
        <v>221511</v>
      </c>
      <c r="L116" s="28">
        <f>149010+14452</f>
        <v>163462</v>
      </c>
      <c r="M116" s="40">
        <v>-15910</v>
      </c>
      <c r="N116" s="44"/>
      <c r="O116" s="66">
        <v>0</v>
      </c>
      <c r="P116" s="54"/>
    </row>
    <row r="117" spans="2:16" x14ac:dyDescent="0.3">
      <c r="B117" s="26" t="s">
        <v>33</v>
      </c>
      <c r="C117" s="27" t="s">
        <v>34</v>
      </c>
      <c r="D117" s="27" t="s">
        <v>7</v>
      </c>
      <c r="E117" s="28">
        <f t="shared" si="4"/>
        <v>279350</v>
      </c>
      <c r="F117" s="28">
        <v>40996</v>
      </c>
      <c r="G117" s="28">
        <v>150965</v>
      </c>
      <c r="H117" s="28">
        <v>60299</v>
      </c>
      <c r="I117" s="28">
        <v>0</v>
      </c>
      <c r="J117" s="28">
        <v>27090</v>
      </c>
      <c r="K117" s="28">
        <f>246612-3830</f>
        <v>242782</v>
      </c>
      <c r="L117" s="28">
        <f>167886+16203</f>
        <v>184089</v>
      </c>
      <c r="M117" s="40">
        <v>-6674</v>
      </c>
      <c r="N117" s="44"/>
      <c r="O117" s="66">
        <v>0</v>
      </c>
      <c r="P117" s="54"/>
    </row>
    <row r="118" spans="2:16" x14ac:dyDescent="0.3">
      <c r="B118" s="26" t="s">
        <v>33</v>
      </c>
      <c r="C118" s="27" t="s">
        <v>34</v>
      </c>
      <c r="D118" s="27" t="s">
        <v>8</v>
      </c>
      <c r="E118" s="28">
        <f t="shared" si="4"/>
        <v>327664</v>
      </c>
      <c r="F118" s="28">
        <v>54368</v>
      </c>
      <c r="G118" s="28">
        <v>194710</v>
      </c>
      <c r="H118" s="28">
        <v>53755</v>
      </c>
      <c r="I118" s="28">
        <v>0</v>
      </c>
      <c r="J118" s="28">
        <v>24831</v>
      </c>
      <c r="K118" s="28">
        <f>263855-7090</f>
        <v>256765</v>
      </c>
      <c r="L118" s="28">
        <f>178839+19590</f>
        <v>198429</v>
      </c>
      <c r="M118" s="29">
        <v>2298</v>
      </c>
      <c r="N118" s="44"/>
      <c r="O118" s="66">
        <v>0</v>
      </c>
      <c r="P118" s="54"/>
    </row>
    <row r="119" spans="2:16" x14ac:dyDescent="0.3">
      <c r="B119" s="26" t="s">
        <v>33</v>
      </c>
      <c r="C119" s="27" t="s">
        <v>34</v>
      </c>
      <c r="D119" s="27" t="s">
        <v>9</v>
      </c>
      <c r="E119" s="28">
        <f t="shared" si="4"/>
        <v>341495</v>
      </c>
      <c r="F119" s="28">
        <v>43667</v>
      </c>
      <c r="G119" s="28">
        <v>194897</v>
      </c>
      <c r="H119" s="28">
        <f>70008+13509</f>
        <v>83517</v>
      </c>
      <c r="I119" s="28">
        <v>0</v>
      </c>
      <c r="J119" s="28">
        <v>19414</v>
      </c>
      <c r="K119" s="28">
        <f>300093-10940</f>
        <v>289153</v>
      </c>
      <c r="L119" s="28">
        <f>197742+23740</f>
        <v>221482</v>
      </c>
      <c r="M119" s="29">
        <v>4062</v>
      </c>
      <c r="N119" s="44"/>
      <c r="O119" s="66">
        <v>0</v>
      </c>
      <c r="P119" s="54"/>
    </row>
    <row r="120" spans="2:16" x14ac:dyDescent="0.3">
      <c r="B120" s="26" t="s">
        <v>33</v>
      </c>
      <c r="C120" s="27" t="s">
        <v>34</v>
      </c>
      <c r="D120" s="27" t="s">
        <v>20</v>
      </c>
      <c r="E120" s="28">
        <f t="shared" si="4"/>
        <v>411558</v>
      </c>
      <c r="F120" s="28">
        <v>57835</v>
      </c>
      <c r="G120" s="28">
        <v>232773</v>
      </c>
      <c r="H120" s="28">
        <f>74718+19198</f>
        <v>93916</v>
      </c>
      <c r="I120" s="28">
        <v>0</v>
      </c>
      <c r="J120" s="28">
        <v>27034</v>
      </c>
      <c r="K120" s="28">
        <f>400691-50492</f>
        <v>350199</v>
      </c>
      <c r="L120" s="28">
        <f>235344+26481</f>
        <v>261825</v>
      </c>
      <c r="M120" s="29">
        <v>42567</v>
      </c>
      <c r="N120" s="44"/>
      <c r="O120" s="66">
        <v>0</v>
      </c>
      <c r="P120" s="54"/>
    </row>
    <row r="121" spans="2:16" x14ac:dyDescent="0.3">
      <c r="B121" s="26" t="s">
        <v>33</v>
      </c>
      <c r="C121" s="27" t="s">
        <v>34</v>
      </c>
      <c r="D121" s="27" t="s">
        <v>21</v>
      </c>
      <c r="E121" s="28">
        <f t="shared" si="4"/>
        <v>402266</v>
      </c>
      <c r="F121" s="28">
        <v>56410</v>
      </c>
      <c r="G121" s="28">
        <v>200169</v>
      </c>
      <c r="H121" s="28">
        <f>86896+27796</f>
        <v>114692</v>
      </c>
      <c r="I121" s="28">
        <v>0</v>
      </c>
      <c r="J121" s="28">
        <v>30995</v>
      </c>
      <c r="K121" s="28">
        <f>383260-20107</f>
        <v>363153</v>
      </c>
      <c r="L121" s="28">
        <f>233319+25683</f>
        <v>259002</v>
      </c>
      <c r="M121" s="40">
        <v>-19228</v>
      </c>
      <c r="N121" s="44"/>
      <c r="O121" s="66">
        <v>0</v>
      </c>
      <c r="P121" s="54"/>
    </row>
    <row r="122" spans="2:16" x14ac:dyDescent="0.3">
      <c r="B122" s="26" t="s">
        <v>33</v>
      </c>
      <c r="C122" s="27" t="s">
        <v>34</v>
      </c>
      <c r="D122" s="27" t="s">
        <v>22</v>
      </c>
      <c r="E122" s="28">
        <f t="shared" si="4"/>
        <v>464266</v>
      </c>
      <c r="F122" s="28">
        <v>70652</v>
      </c>
      <c r="G122" s="28">
        <v>206642</v>
      </c>
      <c r="H122" s="28">
        <f>108842+44026</f>
        <v>152868</v>
      </c>
      <c r="I122" s="28">
        <v>0</v>
      </c>
      <c r="J122" s="28">
        <v>34104</v>
      </c>
      <c r="K122" s="28">
        <f>458461-15521</f>
        <v>442940</v>
      </c>
      <c r="L122" s="28">
        <f>301334+26416</f>
        <v>327750</v>
      </c>
      <c r="M122" s="40">
        <v>-39895</v>
      </c>
      <c r="N122" s="44"/>
      <c r="O122" s="66">
        <v>0</v>
      </c>
      <c r="P122" s="54"/>
    </row>
    <row r="123" spans="2:16" x14ac:dyDescent="0.3">
      <c r="B123" s="26" t="s">
        <v>33</v>
      </c>
      <c r="C123" s="27" t="s">
        <v>34</v>
      </c>
      <c r="D123" s="27" t="s">
        <v>23</v>
      </c>
      <c r="E123" s="28">
        <f t="shared" si="4"/>
        <v>401401</v>
      </c>
      <c r="F123" s="28">
        <v>49200</v>
      </c>
      <c r="G123" s="28">
        <v>166378</v>
      </c>
      <c r="H123" s="28">
        <f>129560+31725</f>
        <v>161285</v>
      </c>
      <c r="I123" s="28">
        <v>0</v>
      </c>
      <c r="J123" s="28">
        <v>24538</v>
      </c>
      <c r="K123" s="28">
        <f>414123-31123</f>
        <v>383000</v>
      </c>
      <c r="L123" s="28">
        <f>259273+25065</f>
        <v>284338</v>
      </c>
      <c r="M123" s="40">
        <v>-89682</v>
      </c>
      <c r="N123" s="44"/>
      <c r="O123" s="66">
        <v>0</v>
      </c>
      <c r="P123" s="54"/>
    </row>
    <row r="124" spans="2:16" x14ac:dyDescent="0.3">
      <c r="B124" s="26" t="s">
        <v>33</v>
      </c>
      <c r="C124" s="27" t="s">
        <v>34</v>
      </c>
      <c r="D124" s="27" t="s">
        <v>24</v>
      </c>
      <c r="E124" s="28">
        <f t="shared" si="4"/>
        <v>437530</v>
      </c>
      <c r="F124" s="28">
        <v>7751</v>
      </c>
      <c r="G124" s="28">
        <v>235310</v>
      </c>
      <c r="H124" s="28">
        <f>145907+25303</f>
        <v>171210</v>
      </c>
      <c r="I124" s="28">
        <v>0</v>
      </c>
      <c r="J124" s="28">
        <v>23259</v>
      </c>
      <c r="K124" s="28">
        <f>449333-37328</f>
        <v>412005</v>
      </c>
      <c r="L124" s="28">
        <f>298193+24699</f>
        <v>322892</v>
      </c>
      <c r="M124" s="40">
        <v>-209885</v>
      </c>
      <c r="N124" s="44"/>
      <c r="O124" s="66">
        <v>0</v>
      </c>
      <c r="P124" s="54"/>
    </row>
    <row r="125" spans="2:16" x14ac:dyDescent="0.3">
      <c r="B125" s="26" t="s">
        <v>33</v>
      </c>
      <c r="C125" s="27" t="s">
        <v>34</v>
      </c>
      <c r="D125" s="27" t="s">
        <v>25</v>
      </c>
      <c r="E125" s="28">
        <f t="shared" si="4"/>
        <v>402595</v>
      </c>
      <c r="F125" s="28">
        <v>32293</v>
      </c>
      <c r="G125" s="28">
        <v>170517</v>
      </c>
      <c r="H125" s="28">
        <f>142538+24434</f>
        <v>166972</v>
      </c>
      <c r="I125" s="28">
        <v>0</v>
      </c>
      <c r="J125" s="28">
        <v>32813</v>
      </c>
      <c r="K125" s="28">
        <f>468350-31853</f>
        <v>436497</v>
      </c>
      <c r="L125" s="28">
        <f>310824+26211</f>
        <v>337035</v>
      </c>
      <c r="M125" s="40">
        <v>-239257</v>
      </c>
      <c r="N125" s="44"/>
      <c r="O125" s="66">
        <v>0</v>
      </c>
      <c r="P125" s="54"/>
    </row>
    <row r="126" spans="2:16" x14ac:dyDescent="0.3">
      <c r="B126" s="26" t="s">
        <v>33</v>
      </c>
      <c r="C126" s="27" t="s">
        <v>34</v>
      </c>
      <c r="D126" s="27" t="s">
        <v>26</v>
      </c>
      <c r="E126" s="28">
        <f t="shared" si="4"/>
        <v>437483</v>
      </c>
      <c r="F126" s="28">
        <v>61500</v>
      </c>
      <c r="G126" s="28">
        <v>157161</v>
      </c>
      <c r="H126" s="28">
        <f>150280+28569</f>
        <v>178849</v>
      </c>
      <c r="I126" s="28">
        <v>0</v>
      </c>
      <c r="J126" s="28">
        <v>39973</v>
      </c>
      <c r="K126" s="28">
        <f>427608-12043</f>
        <v>415565</v>
      </c>
      <c r="L126" s="28">
        <f>255358+27030</f>
        <v>282388</v>
      </c>
      <c r="M126" s="40">
        <v>-123693</v>
      </c>
      <c r="N126" s="44"/>
      <c r="O126" s="66">
        <v>0</v>
      </c>
      <c r="P126" s="54"/>
    </row>
    <row r="127" spans="2:16" x14ac:dyDescent="0.3">
      <c r="B127" s="26" t="s">
        <v>33</v>
      </c>
      <c r="C127" s="27" t="s">
        <v>34</v>
      </c>
      <c r="D127" s="27" t="s">
        <v>27</v>
      </c>
      <c r="E127" s="28">
        <f t="shared" si="4"/>
        <v>360393</v>
      </c>
      <c r="F127" s="28">
        <v>57748</v>
      </c>
      <c r="G127" s="28">
        <v>99728</v>
      </c>
      <c r="H127" s="28">
        <f>132558+27950</f>
        <v>160508</v>
      </c>
      <c r="I127" s="28">
        <v>0</v>
      </c>
      <c r="J127" s="28">
        <v>42409</v>
      </c>
      <c r="K127" s="28">
        <f>400115-22215</f>
        <v>377900</v>
      </c>
      <c r="L127" s="28">
        <f>239039+25066</f>
        <v>264105</v>
      </c>
      <c r="M127" s="40">
        <v>-199229</v>
      </c>
      <c r="N127" s="44"/>
      <c r="O127" s="66">
        <v>0</v>
      </c>
      <c r="P127" s="54"/>
    </row>
    <row r="128" spans="2:16" ht="15" thickBot="1" x14ac:dyDescent="0.35">
      <c r="B128" s="30" t="s">
        <v>33</v>
      </c>
      <c r="C128" s="31" t="s">
        <v>34</v>
      </c>
      <c r="D128" s="31" t="s">
        <v>28</v>
      </c>
      <c r="E128" s="32">
        <f t="shared" si="4"/>
        <v>419905</v>
      </c>
      <c r="F128" s="32">
        <f>65411</f>
        <v>65411</v>
      </c>
      <c r="G128" s="32">
        <v>177389</v>
      </c>
      <c r="H128" s="32">
        <f>105619+10313</f>
        <v>115932</v>
      </c>
      <c r="I128" s="32">
        <v>0</v>
      </c>
      <c r="J128" s="32">
        <v>61173</v>
      </c>
      <c r="K128" s="32">
        <f>405664-43771</f>
        <v>361893</v>
      </c>
      <c r="L128" s="32">
        <f>220269+24397</f>
        <v>244666</v>
      </c>
      <c r="M128" s="42">
        <v>-58146</v>
      </c>
      <c r="N128" s="44"/>
      <c r="O128" s="67">
        <v>0</v>
      </c>
      <c r="P128" s="54"/>
    </row>
    <row r="129" spans="2:15" x14ac:dyDescent="0.3">
      <c r="B129" s="16" t="s">
        <v>33</v>
      </c>
      <c r="C129" s="6" t="s">
        <v>35</v>
      </c>
      <c r="D129" s="6" t="s">
        <v>21</v>
      </c>
      <c r="E129" s="7">
        <f>SUM(F129:J129)</f>
        <v>213671</v>
      </c>
      <c r="F129" s="7">
        <f>22819+9796+2723</f>
        <v>35338</v>
      </c>
      <c r="G129" s="7">
        <v>100578</v>
      </c>
      <c r="H129" s="7">
        <f>44711+17760</f>
        <v>62471</v>
      </c>
      <c r="I129" s="7">
        <v>0</v>
      </c>
      <c r="J129" s="7">
        <f>8927-125+6482</f>
        <v>15284</v>
      </c>
      <c r="K129" s="7">
        <f>354888-2729</f>
        <v>352159</v>
      </c>
      <c r="L129" s="7">
        <v>150397</v>
      </c>
      <c r="M129" s="43">
        <v>-126019</v>
      </c>
      <c r="O129" s="74">
        <v>0</v>
      </c>
    </row>
    <row r="130" spans="2:15" x14ac:dyDescent="0.3">
      <c r="B130" s="17" t="s">
        <v>33</v>
      </c>
      <c r="C130" s="10" t="s">
        <v>35</v>
      </c>
      <c r="D130" s="10" t="s">
        <v>22</v>
      </c>
      <c r="E130" s="11">
        <f>SUM(F130:J130)</f>
        <v>215582</v>
      </c>
      <c r="F130" s="11">
        <f>21182+9115+3815</f>
        <v>34112</v>
      </c>
      <c r="G130" s="11">
        <v>105048</v>
      </c>
      <c r="H130" s="11">
        <f>38030+18817</f>
        <v>56847</v>
      </c>
      <c r="I130" s="11">
        <v>0</v>
      </c>
      <c r="J130" s="11">
        <f>100+9090+10385</f>
        <v>19575</v>
      </c>
      <c r="K130" s="11">
        <f>373375-13786</f>
        <v>359589</v>
      </c>
      <c r="L130" s="11">
        <v>184822</v>
      </c>
      <c r="M130" s="40">
        <v>-145985</v>
      </c>
      <c r="O130" s="72">
        <v>0</v>
      </c>
    </row>
    <row r="131" spans="2:15" x14ac:dyDescent="0.3">
      <c r="B131" s="17" t="s">
        <v>33</v>
      </c>
      <c r="C131" s="10" t="s">
        <v>35</v>
      </c>
      <c r="D131" s="10" t="s">
        <v>23</v>
      </c>
      <c r="E131" s="11">
        <f t="shared" ref="E131:E136" si="5">SUM(F131:J131)</f>
        <v>164180</v>
      </c>
      <c r="F131" s="11">
        <f>13402+6676+3551</f>
        <v>23629</v>
      </c>
      <c r="G131" s="11">
        <v>63385</v>
      </c>
      <c r="H131" s="11">
        <f>36683+15562</f>
        <v>52245</v>
      </c>
      <c r="I131" s="11">
        <v>0</v>
      </c>
      <c r="J131" s="11">
        <f>75+8881+15965</f>
        <v>24921</v>
      </c>
      <c r="K131" s="11">
        <f>378916-8160</f>
        <v>370756</v>
      </c>
      <c r="L131" s="11">
        <v>160878</v>
      </c>
      <c r="M131" s="40">
        <v>-194616</v>
      </c>
      <c r="O131" s="72">
        <v>0</v>
      </c>
    </row>
    <row r="132" spans="2:15" x14ac:dyDescent="0.3">
      <c r="B132" s="17" t="s">
        <v>33</v>
      </c>
      <c r="C132" s="10" t="s">
        <v>35</v>
      </c>
      <c r="D132" s="10" t="s">
        <v>24</v>
      </c>
      <c r="E132" s="11">
        <f t="shared" si="5"/>
        <v>232711</v>
      </c>
      <c r="F132" s="11">
        <v>0</v>
      </c>
      <c r="G132" s="11">
        <v>138261</v>
      </c>
      <c r="H132" s="11">
        <f>53991+11237</f>
        <v>65228</v>
      </c>
      <c r="I132" s="11">
        <v>0</v>
      </c>
      <c r="J132" s="11">
        <f>150+8975+20097</f>
        <v>29222</v>
      </c>
      <c r="K132" s="11">
        <f>347415-16185</f>
        <v>331230</v>
      </c>
      <c r="L132" s="11">
        <v>169687</v>
      </c>
      <c r="M132" s="40">
        <v>-96416</v>
      </c>
      <c r="O132" s="72">
        <v>0</v>
      </c>
    </row>
    <row r="133" spans="2:15" x14ac:dyDescent="0.3">
      <c r="B133" s="17" t="s">
        <v>33</v>
      </c>
      <c r="C133" s="10" t="s">
        <v>35</v>
      </c>
      <c r="D133" s="10" t="s">
        <v>25</v>
      </c>
      <c r="E133" s="11">
        <f t="shared" si="5"/>
        <v>287134</v>
      </c>
      <c r="F133" s="11">
        <f>32309+235</f>
        <v>32544</v>
      </c>
      <c r="G133" s="11">
        <v>133075</v>
      </c>
      <c r="H133" s="11">
        <f>57799+25070</f>
        <v>82869</v>
      </c>
      <c r="I133" s="11">
        <v>0</v>
      </c>
      <c r="J133" s="11">
        <f>-54+173+7512+31015</f>
        <v>38646</v>
      </c>
      <c r="K133" s="11">
        <f>352572-10399</f>
        <v>342173</v>
      </c>
      <c r="L133" s="11">
        <v>170254</v>
      </c>
      <c r="M133" s="40">
        <v>-66537</v>
      </c>
      <c r="O133" s="72">
        <v>0</v>
      </c>
    </row>
    <row r="134" spans="2:15" x14ac:dyDescent="0.3">
      <c r="B134" s="17" t="s">
        <v>33</v>
      </c>
      <c r="C134" s="10" t="s">
        <v>35</v>
      </c>
      <c r="D134" s="10" t="s">
        <v>26</v>
      </c>
      <c r="E134" s="11">
        <f t="shared" si="5"/>
        <v>397936</v>
      </c>
      <c r="F134" s="11">
        <v>72834</v>
      </c>
      <c r="G134" s="11">
        <v>174907</v>
      </c>
      <c r="H134" s="11">
        <v>127294</v>
      </c>
      <c r="I134" s="11">
        <v>0</v>
      </c>
      <c r="J134" s="11">
        <f>3828+119+7519+11435</f>
        <v>22901</v>
      </c>
      <c r="K134" s="11">
        <v>385461</v>
      </c>
      <c r="L134" s="11">
        <v>173998</v>
      </c>
      <c r="M134" s="12">
        <v>6070</v>
      </c>
      <c r="O134" s="72">
        <v>0</v>
      </c>
    </row>
    <row r="135" spans="2:15" x14ac:dyDescent="0.3">
      <c r="B135" s="17" t="s">
        <v>33</v>
      </c>
      <c r="C135" s="10" t="s">
        <v>35</v>
      </c>
      <c r="D135" s="10" t="s">
        <v>27</v>
      </c>
      <c r="E135" s="11">
        <f t="shared" si="5"/>
        <v>404709</v>
      </c>
      <c r="F135" s="11">
        <v>69348</v>
      </c>
      <c r="G135" s="11">
        <v>152323</v>
      </c>
      <c r="H135" s="11">
        <v>143449</v>
      </c>
      <c r="I135" s="11">
        <v>0</v>
      </c>
      <c r="J135" s="11">
        <f>3258+109+8404+27818</f>
        <v>39589</v>
      </c>
      <c r="K135" s="11">
        <v>438737</v>
      </c>
      <c r="L135" s="11">
        <v>187284</v>
      </c>
      <c r="M135" s="12">
        <v>5090</v>
      </c>
      <c r="O135" s="72">
        <v>0</v>
      </c>
    </row>
    <row r="136" spans="2:15" ht="15" thickBot="1" x14ac:dyDescent="0.35">
      <c r="B136" s="18" t="s">
        <v>33</v>
      </c>
      <c r="C136" s="19" t="s">
        <v>35</v>
      </c>
      <c r="D136" s="19" t="s">
        <v>28</v>
      </c>
      <c r="E136" s="15">
        <f t="shared" si="5"/>
        <v>429107</v>
      </c>
      <c r="F136" s="15">
        <v>69517</v>
      </c>
      <c r="G136" s="15">
        <v>154200</v>
      </c>
      <c r="H136" s="15">
        <v>152316</v>
      </c>
      <c r="I136" s="15">
        <v>0</v>
      </c>
      <c r="J136" s="15">
        <f>997+13+12694+17775+21595</f>
        <v>53074</v>
      </c>
      <c r="K136" s="15">
        <v>468051</v>
      </c>
      <c r="L136" s="15">
        <v>188717</v>
      </c>
      <c r="M136" s="45">
        <v>2994</v>
      </c>
      <c r="O136" s="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Borrador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Martín del Cerro</dc:creator>
  <cp:lastModifiedBy>Mario Martín del Cerro</cp:lastModifiedBy>
  <dcterms:created xsi:type="dcterms:W3CDTF">2026-04-17T09:25:54Z</dcterms:created>
  <dcterms:modified xsi:type="dcterms:W3CDTF">2026-05-15T12:53:44Z</dcterms:modified>
</cp:coreProperties>
</file>